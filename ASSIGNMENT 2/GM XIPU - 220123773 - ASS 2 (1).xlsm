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wnloads\"/>
    </mc:Choice>
  </mc:AlternateContent>
  <xr:revisionPtr revIDLastSave="0" documentId="8_{0DDB4C7E-5F94-4E2B-9779-1491EA3CB5B3}" xr6:coauthVersionLast="47" xr6:coauthVersionMax="47" xr10:uidLastSave="{00000000-0000-0000-0000-000000000000}"/>
  <bookViews>
    <workbookView xWindow="-120" yWindow="330" windowWidth="29040" windowHeight="15270" activeTab="5" xr2:uid="{850B1354-E7F8-45A2-9823-A786D0A02B5E}"/>
  </bookViews>
  <sheets>
    <sheet name="Introduction" sheetId="10" r:id="rId1"/>
    <sheet name="Initial Assumptions" sheetId="1" r:id="rId2"/>
    <sheet name="Monte Carlo Parameters" sheetId="11" r:id="rId3"/>
    <sheet name="Simulations" sheetId="5" r:id="rId4"/>
    <sheet name="Single Simulation" sheetId="6" r:id="rId5"/>
    <sheet name="Results" sheetId="8" r:id="rId6"/>
    <sheet name="Chart" sheetId="9" r:id="rId7"/>
    <sheet name="Conculsion" sheetId="13" r:id="rId8"/>
  </sheets>
  <externalReferences>
    <externalReference r:id="rId9"/>
  </externalReferences>
  <definedNames>
    <definedName name="_xlchart.v1.0" hidden="1">Results!#REF!</definedName>
    <definedName name="_xlchart.v1.1" hidden="1">Results!$F$3:$F$102</definedName>
    <definedName name="_xlchart.v1.2" hidden="1">Results!$G$3:$G$102</definedName>
    <definedName name="_xlchart.v1.3" hidden="1">Results!$H$3:$H$102</definedName>
    <definedName name="_xlchart.v1.4" hidden="1">Results!$I$3:$I$102</definedName>
    <definedName name="_xlchart.v1.5" hidden="1">Results!$J$3:$J$102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5" l="1"/>
  <c r="D7" i="5"/>
  <c r="D5" i="5"/>
  <c r="D6" i="5"/>
  <c r="C1002" i="8"/>
  <c r="D1002" i="8"/>
  <c r="E1002" i="8"/>
  <c r="C179" i="8"/>
  <c r="D179" i="8"/>
  <c r="E179" i="8"/>
  <c r="C180" i="8"/>
  <c r="D180" i="8"/>
  <c r="E180" i="8"/>
  <c r="C181" i="8"/>
  <c r="D181" i="8"/>
  <c r="E181" i="8"/>
  <c r="C182" i="8"/>
  <c r="D182" i="8"/>
  <c r="E182" i="8"/>
  <c r="C183" i="8"/>
  <c r="D183" i="8"/>
  <c r="E183" i="8"/>
  <c r="C184" i="8"/>
  <c r="D184" i="8"/>
  <c r="E184" i="8"/>
  <c r="C185" i="8"/>
  <c r="D185" i="8"/>
  <c r="E185" i="8"/>
  <c r="C186" i="8"/>
  <c r="D186" i="8"/>
  <c r="E186" i="8"/>
  <c r="C187" i="8"/>
  <c r="D187" i="8"/>
  <c r="E187" i="8"/>
  <c r="C188" i="8"/>
  <c r="D188" i="8"/>
  <c r="E188" i="8"/>
  <c r="C189" i="8"/>
  <c r="D189" i="8"/>
  <c r="E189" i="8"/>
  <c r="C190" i="8"/>
  <c r="D190" i="8"/>
  <c r="E190" i="8"/>
  <c r="C191" i="8"/>
  <c r="D191" i="8"/>
  <c r="E191" i="8"/>
  <c r="C192" i="8"/>
  <c r="D192" i="8"/>
  <c r="E192" i="8"/>
  <c r="C193" i="8"/>
  <c r="D193" i="8"/>
  <c r="E193" i="8"/>
  <c r="C194" i="8"/>
  <c r="D194" i="8"/>
  <c r="E194" i="8"/>
  <c r="C195" i="8"/>
  <c r="D195" i="8"/>
  <c r="E195" i="8"/>
  <c r="C196" i="8"/>
  <c r="D196" i="8"/>
  <c r="E196" i="8"/>
  <c r="C197" i="8"/>
  <c r="D197" i="8"/>
  <c r="E197" i="8"/>
  <c r="C198" i="8"/>
  <c r="D198" i="8"/>
  <c r="E198" i="8"/>
  <c r="C199" i="8"/>
  <c r="D199" i="8"/>
  <c r="E199" i="8"/>
  <c r="C200" i="8"/>
  <c r="D200" i="8"/>
  <c r="E200" i="8"/>
  <c r="C201" i="8"/>
  <c r="D201" i="8"/>
  <c r="E201" i="8"/>
  <c r="C202" i="8"/>
  <c r="D202" i="8"/>
  <c r="E202" i="8"/>
  <c r="C203" i="8"/>
  <c r="D203" i="8"/>
  <c r="E203" i="8"/>
  <c r="C204" i="8"/>
  <c r="D204" i="8"/>
  <c r="E204" i="8"/>
  <c r="C205" i="8"/>
  <c r="D205" i="8"/>
  <c r="E205" i="8"/>
  <c r="C206" i="8"/>
  <c r="D206" i="8"/>
  <c r="E206" i="8"/>
  <c r="C207" i="8"/>
  <c r="D207" i="8"/>
  <c r="E207" i="8"/>
  <c r="C208" i="8"/>
  <c r="D208" i="8"/>
  <c r="E208" i="8"/>
  <c r="C209" i="8"/>
  <c r="D209" i="8"/>
  <c r="E209" i="8"/>
  <c r="C210" i="8"/>
  <c r="D210" i="8"/>
  <c r="E210" i="8"/>
  <c r="C211" i="8"/>
  <c r="D211" i="8"/>
  <c r="E211" i="8"/>
  <c r="C212" i="8"/>
  <c r="D212" i="8"/>
  <c r="E212" i="8"/>
  <c r="C213" i="8"/>
  <c r="D213" i="8"/>
  <c r="E213" i="8"/>
  <c r="C214" i="8"/>
  <c r="D214" i="8"/>
  <c r="E214" i="8"/>
  <c r="C215" i="8"/>
  <c r="D215" i="8"/>
  <c r="E215" i="8"/>
  <c r="C216" i="8"/>
  <c r="D216" i="8"/>
  <c r="E216" i="8"/>
  <c r="C217" i="8"/>
  <c r="D217" i="8"/>
  <c r="E217" i="8"/>
  <c r="C218" i="8"/>
  <c r="D218" i="8"/>
  <c r="E218" i="8"/>
  <c r="C219" i="8"/>
  <c r="D219" i="8"/>
  <c r="E219" i="8"/>
  <c r="C220" i="8"/>
  <c r="D220" i="8"/>
  <c r="E220" i="8"/>
  <c r="C221" i="8"/>
  <c r="D221" i="8"/>
  <c r="E221" i="8"/>
  <c r="C222" i="8"/>
  <c r="D222" i="8"/>
  <c r="E222" i="8"/>
  <c r="C223" i="8"/>
  <c r="D223" i="8"/>
  <c r="E223" i="8"/>
  <c r="C224" i="8"/>
  <c r="D224" i="8"/>
  <c r="E224" i="8"/>
  <c r="C225" i="8"/>
  <c r="D225" i="8"/>
  <c r="E225" i="8"/>
  <c r="C226" i="8"/>
  <c r="D226" i="8"/>
  <c r="E226" i="8"/>
  <c r="C227" i="8"/>
  <c r="D227" i="8"/>
  <c r="E227" i="8"/>
  <c r="C228" i="8"/>
  <c r="D228" i="8"/>
  <c r="E228" i="8"/>
  <c r="C229" i="8"/>
  <c r="D229" i="8"/>
  <c r="E229" i="8"/>
  <c r="C230" i="8"/>
  <c r="D230" i="8"/>
  <c r="E230" i="8"/>
  <c r="C231" i="8"/>
  <c r="D231" i="8"/>
  <c r="E231" i="8"/>
  <c r="C232" i="8"/>
  <c r="D232" i="8"/>
  <c r="E232" i="8"/>
  <c r="C233" i="8"/>
  <c r="D233" i="8"/>
  <c r="E233" i="8"/>
  <c r="C234" i="8"/>
  <c r="D234" i="8"/>
  <c r="E234" i="8"/>
  <c r="C235" i="8"/>
  <c r="D235" i="8"/>
  <c r="E235" i="8"/>
  <c r="C236" i="8"/>
  <c r="D236" i="8"/>
  <c r="E236" i="8"/>
  <c r="C237" i="8"/>
  <c r="D237" i="8"/>
  <c r="E237" i="8"/>
  <c r="C238" i="8"/>
  <c r="D238" i="8"/>
  <c r="E238" i="8"/>
  <c r="C239" i="8"/>
  <c r="D239" i="8"/>
  <c r="E239" i="8"/>
  <c r="C240" i="8"/>
  <c r="D240" i="8"/>
  <c r="E240" i="8"/>
  <c r="C241" i="8"/>
  <c r="D241" i="8"/>
  <c r="E241" i="8"/>
  <c r="C242" i="8"/>
  <c r="D242" i="8"/>
  <c r="E242" i="8"/>
  <c r="C243" i="8"/>
  <c r="D243" i="8"/>
  <c r="E243" i="8"/>
  <c r="C244" i="8"/>
  <c r="D244" i="8"/>
  <c r="E244" i="8"/>
  <c r="C245" i="8"/>
  <c r="D245" i="8"/>
  <c r="E245" i="8"/>
  <c r="C246" i="8"/>
  <c r="D246" i="8"/>
  <c r="E246" i="8"/>
  <c r="C247" i="8"/>
  <c r="D247" i="8"/>
  <c r="E247" i="8"/>
  <c r="C248" i="8"/>
  <c r="D248" i="8"/>
  <c r="E248" i="8"/>
  <c r="C249" i="8"/>
  <c r="D249" i="8"/>
  <c r="E249" i="8"/>
  <c r="C250" i="8"/>
  <c r="D250" i="8"/>
  <c r="E250" i="8"/>
  <c r="C251" i="8"/>
  <c r="D251" i="8"/>
  <c r="E251" i="8"/>
  <c r="C252" i="8"/>
  <c r="D252" i="8"/>
  <c r="E252" i="8"/>
  <c r="C253" i="8"/>
  <c r="D253" i="8"/>
  <c r="E253" i="8"/>
  <c r="C254" i="8"/>
  <c r="D254" i="8"/>
  <c r="E254" i="8"/>
  <c r="C255" i="8"/>
  <c r="D255" i="8"/>
  <c r="E255" i="8"/>
  <c r="C256" i="8"/>
  <c r="D256" i="8"/>
  <c r="E256" i="8"/>
  <c r="C257" i="8"/>
  <c r="D257" i="8"/>
  <c r="E257" i="8"/>
  <c r="C258" i="8"/>
  <c r="D258" i="8"/>
  <c r="E258" i="8"/>
  <c r="C259" i="8"/>
  <c r="D259" i="8"/>
  <c r="E259" i="8"/>
  <c r="C260" i="8"/>
  <c r="D260" i="8"/>
  <c r="E260" i="8"/>
  <c r="C261" i="8"/>
  <c r="D261" i="8"/>
  <c r="E261" i="8"/>
  <c r="C262" i="8"/>
  <c r="D262" i="8"/>
  <c r="E262" i="8"/>
  <c r="C263" i="8"/>
  <c r="D263" i="8"/>
  <c r="E263" i="8"/>
  <c r="C264" i="8"/>
  <c r="D264" i="8"/>
  <c r="E264" i="8"/>
  <c r="C265" i="8"/>
  <c r="D265" i="8"/>
  <c r="E265" i="8"/>
  <c r="C266" i="8"/>
  <c r="D266" i="8"/>
  <c r="E266" i="8"/>
  <c r="C267" i="8"/>
  <c r="D267" i="8"/>
  <c r="E267" i="8"/>
  <c r="C268" i="8"/>
  <c r="D268" i="8"/>
  <c r="E268" i="8"/>
  <c r="C269" i="8"/>
  <c r="D269" i="8"/>
  <c r="E269" i="8"/>
  <c r="C270" i="8"/>
  <c r="D270" i="8"/>
  <c r="E270" i="8"/>
  <c r="C271" i="8"/>
  <c r="D271" i="8"/>
  <c r="E271" i="8"/>
  <c r="C272" i="8"/>
  <c r="D272" i="8"/>
  <c r="E272" i="8"/>
  <c r="C273" i="8"/>
  <c r="D273" i="8"/>
  <c r="E273" i="8"/>
  <c r="C274" i="8"/>
  <c r="D274" i="8"/>
  <c r="E274" i="8"/>
  <c r="C275" i="8"/>
  <c r="D275" i="8"/>
  <c r="E275" i="8"/>
  <c r="C276" i="8"/>
  <c r="D276" i="8"/>
  <c r="E276" i="8"/>
  <c r="C277" i="8"/>
  <c r="D277" i="8"/>
  <c r="E277" i="8"/>
  <c r="C278" i="8"/>
  <c r="D278" i="8"/>
  <c r="E278" i="8"/>
  <c r="C279" i="8"/>
  <c r="D279" i="8"/>
  <c r="E279" i="8"/>
  <c r="C280" i="8"/>
  <c r="D280" i="8"/>
  <c r="E280" i="8"/>
  <c r="C281" i="8"/>
  <c r="D281" i="8"/>
  <c r="E281" i="8"/>
  <c r="C282" i="8"/>
  <c r="D282" i="8"/>
  <c r="E282" i="8"/>
  <c r="C283" i="8"/>
  <c r="D283" i="8"/>
  <c r="E283" i="8"/>
  <c r="C284" i="8"/>
  <c r="D284" i="8"/>
  <c r="E284" i="8"/>
  <c r="C285" i="8"/>
  <c r="D285" i="8"/>
  <c r="E285" i="8"/>
  <c r="C286" i="8"/>
  <c r="D286" i="8"/>
  <c r="E286" i="8"/>
  <c r="C287" i="8"/>
  <c r="D287" i="8"/>
  <c r="E287" i="8"/>
  <c r="C288" i="8"/>
  <c r="D288" i="8"/>
  <c r="E288" i="8"/>
  <c r="C289" i="8"/>
  <c r="D289" i="8"/>
  <c r="E289" i="8"/>
  <c r="C290" i="8"/>
  <c r="D290" i="8"/>
  <c r="E290" i="8"/>
  <c r="C291" i="8"/>
  <c r="D291" i="8"/>
  <c r="E291" i="8"/>
  <c r="C292" i="8"/>
  <c r="D292" i="8"/>
  <c r="E292" i="8"/>
  <c r="C293" i="8"/>
  <c r="D293" i="8"/>
  <c r="E293" i="8"/>
  <c r="C294" i="8"/>
  <c r="D294" i="8"/>
  <c r="E294" i="8"/>
  <c r="C295" i="8"/>
  <c r="D295" i="8"/>
  <c r="E295" i="8"/>
  <c r="C296" i="8"/>
  <c r="D296" i="8"/>
  <c r="E296" i="8"/>
  <c r="C297" i="8"/>
  <c r="D297" i="8"/>
  <c r="E297" i="8"/>
  <c r="C298" i="8"/>
  <c r="D298" i="8"/>
  <c r="E298" i="8"/>
  <c r="C299" i="8"/>
  <c r="D299" i="8"/>
  <c r="E299" i="8"/>
  <c r="C300" i="8"/>
  <c r="D300" i="8"/>
  <c r="E300" i="8"/>
  <c r="C301" i="8"/>
  <c r="D301" i="8"/>
  <c r="E301" i="8"/>
  <c r="C302" i="8"/>
  <c r="D302" i="8"/>
  <c r="E302" i="8"/>
  <c r="C303" i="8"/>
  <c r="D303" i="8"/>
  <c r="E303" i="8"/>
  <c r="C304" i="8"/>
  <c r="D304" i="8"/>
  <c r="E304" i="8"/>
  <c r="C305" i="8"/>
  <c r="D305" i="8"/>
  <c r="E305" i="8"/>
  <c r="C306" i="8"/>
  <c r="D306" i="8"/>
  <c r="E306" i="8"/>
  <c r="C307" i="8"/>
  <c r="D307" i="8"/>
  <c r="E307" i="8"/>
  <c r="C308" i="8"/>
  <c r="D308" i="8"/>
  <c r="E308" i="8"/>
  <c r="C309" i="8"/>
  <c r="D309" i="8"/>
  <c r="E309" i="8"/>
  <c r="C310" i="8"/>
  <c r="D310" i="8"/>
  <c r="E310" i="8"/>
  <c r="C311" i="8"/>
  <c r="D311" i="8"/>
  <c r="E311" i="8"/>
  <c r="C312" i="8"/>
  <c r="D312" i="8"/>
  <c r="E312" i="8"/>
  <c r="C313" i="8"/>
  <c r="D313" i="8"/>
  <c r="E313" i="8"/>
  <c r="C314" i="8"/>
  <c r="D314" i="8"/>
  <c r="E314" i="8"/>
  <c r="C315" i="8"/>
  <c r="D315" i="8"/>
  <c r="E315" i="8"/>
  <c r="C316" i="8"/>
  <c r="D316" i="8"/>
  <c r="E316" i="8"/>
  <c r="C317" i="8"/>
  <c r="D317" i="8"/>
  <c r="E317" i="8"/>
  <c r="C318" i="8"/>
  <c r="D318" i="8"/>
  <c r="E318" i="8"/>
  <c r="C319" i="8"/>
  <c r="D319" i="8"/>
  <c r="E319" i="8"/>
  <c r="C320" i="8"/>
  <c r="D320" i="8"/>
  <c r="E320" i="8"/>
  <c r="C321" i="8"/>
  <c r="D321" i="8"/>
  <c r="E321" i="8"/>
  <c r="C322" i="8"/>
  <c r="D322" i="8"/>
  <c r="E322" i="8"/>
  <c r="C323" i="8"/>
  <c r="D323" i="8"/>
  <c r="E323" i="8"/>
  <c r="C324" i="8"/>
  <c r="D324" i="8"/>
  <c r="E324" i="8"/>
  <c r="C325" i="8"/>
  <c r="D325" i="8"/>
  <c r="E325" i="8"/>
  <c r="C326" i="8"/>
  <c r="D326" i="8"/>
  <c r="E326" i="8"/>
  <c r="C327" i="8"/>
  <c r="D327" i="8"/>
  <c r="E327" i="8"/>
  <c r="C328" i="8"/>
  <c r="D328" i="8"/>
  <c r="E328" i="8"/>
  <c r="C329" i="8"/>
  <c r="D329" i="8"/>
  <c r="E329" i="8"/>
  <c r="C330" i="8"/>
  <c r="D330" i="8"/>
  <c r="E330" i="8"/>
  <c r="C331" i="8"/>
  <c r="D331" i="8"/>
  <c r="E331" i="8"/>
  <c r="C332" i="8"/>
  <c r="D332" i="8"/>
  <c r="E332" i="8"/>
  <c r="C333" i="8"/>
  <c r="D333" i="8"/>
  <c r="E333" i="8"/>
  <c r="C334" i="8"/>
  <c r="D334" i="8"/>
  <c r="E334" i="8"/>
  <c r="C335" i="8"/>
  <c r="D335" i="8"/>
  <c r="E335" i="8"/>
  <c r="C336" i="8"/>
  <c r="D336" i="8"/>
  <c r="E336" i="8"/>
  <c r="C337" i="8"/>
  <c r="D337" i="8"/>
  <c r="E337" i="8"/>
  <c r="C338" i="8"/>
  <c r="D338" i="8"/>
  <c r="E338" i="8"/>
  <c r="C339" i="8"/>
  <c r="D339" i="8"/>
  <c r="E339" i="8"/>
  <c r="C340" i="8"/>
  <c r="D340" i="8"/>
  <c r="E340" i="8"/>
  <c r="C341" i="8"/>
  <c r="D341" i="8"/>
  <c r="E341" i="8"/>
  <c r="C342" i="8"/>
  <c r="D342" i="8"/>
  <c r="E342" i="8"/>
  <c r="C343" i="8"/>
  <c r="D343" i="8"/>
  <c r="E343" i="8"/>
  <c r="C344" i="8"/>
  <c r="D344" i="8"/>
  <c r="E344" i="8"/>
  <c r="C345" i="8"/>
  <c r="D345" i="8"/>
  <c r="E345" i="8"/>
  <c r="C346" i="8"/>
  <c r="D346" i="8"/>
  <c r="E346" i="8"/>
  <c r="C347" i="8"/>
  <c r="D347" i="8"/>
  <c r="E347" i="8"/>
  <c r="C348" i="8"/>
  <c r="D348" i="8"/>
  <c r="E348" i="8"/>
  <c r="C349" i="8"/>
  <c r="D349" i="8"/>
  <c r="E349" i="8"/>
  <c r="C350" i="8"/>
  <c r="D350" i="8"/>
  <c r="E350" i="8"/>
  <c r="C351" i="8"/>
  <c r="D351" i="8"/>
  <c r="E351" i="8"/>
  <c r="C352" i="8"/>
  <c r="D352" i="8"/>
  <c r="E352" i="8"/>
  <c r="C353" i="8"/>
  <c r="D353" i="8"/>
  <c r="E353" i="8"/>
  <c r="C354" i="8"/>
  <c r="D354" i="8"/>
  <c r="E354" i="8"/>
  <c r="C355" i="8"/>
  <c r="D355" i="8"/>
  <c r="E355" i="8"/>
  <c r="C356" i="8"/>
  <c r="D356" i="8"/>
  <c r="E356" i="8"/>
  <c r="C357" i="8"/>
  <c r="D357" i="8"/>
  <c r="E357" i="8"/>
  <c r="C358" i="8"/>
  <c r="D358" i="8"/>
  <c r="E358" i="8"/>
  <c r="C359" i="8"/>
  <c r="D359" i="8"/>
  <c r="E359" i="8"/>
  <c r="C360" i="8"/>
  <c r="D360" i="8"/>
  <c r="E360" i="8"/>
  <c r="C361" i="8"/>
  <c r="D361" i="8"/>
  <c r="E361" i="8"/>
  <c r="C362" i="8"/>
  <c r="D362" i="8"/>
  <c r="E362" i="8"/>
  <c r="C363" i="8"/>
  <c r="D363" i="8"/>
  <c r="E363" i="8"/>
  <c r="C364" i="8"/>
  <c r="D364" i="8"/>
  <c r="E364" i="8"/>
  <c r="C365" i="8"/>
  <c r="D365" i="8"/>
  <c r="E365" i="8"/>
  <c r="C366" i="8"/>
  <c r="D366" i="8"/>
  <c r="E366" i="8"/>
  <c r="C367" i="8"/>
  <c r="D367" i="8"/>
  <c r="E367" i="8"/>
  <c r="C368" i="8"/>
  <c r="D368" i="8"/>
  <c r="E368" i="8"/>
  <c r="C369" i="8"/>
  <c r="D369" i="8"/>
  <c r="E369" i="8"/>
  <c r="C370" i="8"/>
  <c r="D370" i="8"/>
  <c r="E370" i="8"/>
  <c r="C371" i="8"/>
  <c r="D371" i="8"/>
  <c r="E371" i="8"/>
  <c r="C372" i="8"/>
  <c r="D372" i="8"/>
  <c r="E372" i="8"/>
  <c r="C373" i="8"/>
  <c r="D373" i="8"/>
  <c r="E373" i="8"/>
  <c r="C374" i="8"/>
  <c r="D374" i="8"/>
  <c r="E374" i="8"/>
  <c r="C375" i="8"/>
  <c r="D375" i="8"/>
  <c r="E375" i="8"/>
  <c r="C376" i="8"/>
  <c r="D376" i="8"/>
  <c r="E376" i="8"/>
  <c r="C377" i="8"/>
  <c r="D377" i="8"/>
  <c r="E377" i="8"/>
  <c r="C378" i="8"/>
  <c r="D378" i="8"/>
  <c r="E378" i="8"/>
  <c r="C379" i="8"/>
  <c r="D379" i="8"/>
  <c r="E379" i="8"/>
  <c r="C380" i="8"/>
  <c r="D380" i="8"/>
  <c r="E380" i="8"/>
  <c r="C381" i="8"/>
  <c r="D381" i="8"/>
  <c r="E381" i="8"/>
  <c r="C382" i="8"/>
  <c r="D382" i="8"/>
  <c r="E382" i="8"/>
  <c r="C383" i="8"/>
  <c r="D383" i="8"/>
  <c r="E383" i="8"/>
  <c r="C384" i="8"/>
  <c r="D384" i="8"/>
  <c r="E384" i="8"/>
  <c r="C385" i="8"/>
  <c r="D385" i="8"/>
  <c r="E385" i="8"/>
  <c r="C386" i="8"/>
  <c r="D386" i="8"/>
  <c r="E386" i="8"/>
  <c r="C387" i="8"/>
  <c r="D387" i="8"/>
  <c r="E387" i="8"/>
  <c r="C388" i="8"/>
  <c r="D388" i="8"/>
  <c r="E388" i="8"/>
  <c r="C389" i="8"/>
  <c r="D389" i="8"/>
  <c r="E389" i="8"/>
  <c r="C390" i="8"/>
  <c r="D390" i="8"/>
  <c r="E390" i="8"/>
  <c r="C391" i="8"/>
  <c r="D391" i="8"/>
  <c r="E391" i="8"/>
  <c r="C392" i="8"/>
  <c r="D392" i="8"/>
  <c r="E392" i="8"/>
  <c r="C393" i="8"/>
  <c r="D393" i="8"/>
  <c r="E393" i="8"/>
  <c r="C394" i="8"/>
  <c r="D394" i="8"/>
  <c r="E394" i="8"/>
  <c r="C395" i="8"/>
  <c r="D395" i="8"/>
  <c r="E395" i="8"/>
  <c r="C396" i="8"/>
  <c r="D396" i="8"/>
  <c r="E396" i="8"/>
  <c r="C397" i="8"/>
  <c r="D397" i="8"/>
  <c r="E397" i="8"/>
  <c r="C398" i="8"/>
  <c r="D398" i="8"/>
  <c r="E398" i="8"/>
  <c r="C399" i="8"/>
  <c r="D399" i="8"/>
  <c r="E399" i="8"/>
  <c r="C400" i="8"/>
  <c r="D400" i="8"/>
  <c r="E400" i="8"/>
  <c r="C401" i="8"/>
  <c r="D401" i="8"/>
  <c r="E401" i="8"/>
  <c r="C402" i="8"/>
  <c r="D402" i="8"/>
  <c r="E402" i="8"/>
  <c r="C403" i="8"/>
  <c r="D403" i="8"/>
  <c r="E403" i="8"/>
  <c r="C404" i="8"/>
  <c r="D404" i="8"/>
  <c r="E404" i="8"/>
  <c r="C405" i="8"/>
  <c r="D405" i="8"/>
  <c r="E405" i="8"/>
  <c r="C406" i="8"/>
  <c r="D406" i="8"/>
  <c r="E406" i="8"/>
  <c r="C407" i="8"/>
  <c r="D407" i="8"/>
  <c r="E407" i="8"/>
  <c r="C408" i="8"/>
  <c r="D408" i="8"/>
  <c r="E408" i="8"/>
  <c r="C409" i="8"/>
  <c r="D409" i="8"/>
  <c r="E409" i="8"/>
  <c r="C410" i="8"/>
  <c r="D410" i="8"/>
  <c r="E410" i="8"/>
  <c r="C411" i="8"/>
  <c r="D411" i="8"/>
  <c r="E411" i="8"/>
  <c r="C412" i="8"/>
  <c r="D412" i="8"/>
  <c r="E412" i="8"/>
  <c r="C413" i="8"/>
  <c r="D413" i="8"/>
  <c r="E413" i="8"/>
  <c r="C414" i="8"/>
  <c r="D414" i="8"/>
  <c r="E414" i="8"/>
  <c r="C415" i="8"/>
  <c r="D415" i="8"/>
  <c r="E415" i="8"/>
  <c r="C416" i="8"/>
  <c r="D416" i="8"/>
  <c r="E416" i="8"/>
  <c r="C417" i="8"/>
  <c r="D417" i="8"/>
  <c r="E417" i="8"/>
  <c r="C418" i="8"/>
  <c r="D418" i="8"/>
  <c r="E418" i="8"/>
  <c r="C419" i="8"/>
  <c r="D419" i="8"/>
  <c r="E419" i="8"/>
  <c r="C420" i="8"/>
  <c r="D420" i="8"/>
  <c r="E420" i="8"/>
  <c r="C421" i="8"/>
  <c r="D421" i="8"/>
  <c r="E421" i="8"/>
  <c r="C422" i="8"/>
  <c r="D422" i="8"/>
  <c r="E422" i="8"/>
  <c r="C423" i="8"/>
  <c r="D423" i="8"/>
  <c r="E423" i="8"/>
  <c r="C424" i="8"/>
  <c r="D424" i="8"/>
  <c r="E424" i="8"/>
  <c r="C425" i="8"/>
  <c r="D425" i="8"/>
  <c r="E425" i="8"/>
  <c r="C426" i="8"/>
  <c r="D426" i="8"/>
  <c r="E426" i="8"/>
  <c r="C427" i="8"/>
  <c r="D427" i="8"/>
  <c r="E427" i="8"/>
  <c r="C428" i="8"/>
  <c r="D428" i="8"/>
  <c r="E428" i="8"/>
  <c r="C429" i="8"/>
  <c r="D429" i="8"/>
  <c r="E429" i="8"/>
  <c r="C430" i="8"/>
  <c r="D430" i="8"/>
  <c r="E430" i="8"/>
  <c r="C431" i="8"/>
  <c r="D431" i="8"/>
  <c r="E431" i="8"/>
  <c r="C432" i="8"/>
  <c r="D432" i="8"/>
  <c r="E432" i="8"/>
  <c r="C433" i="8"/>
  <c r="D433" i="8"/>
  <c r="E433" i="8"/>
  <c r="C434" i="8"/>
  <c r="D434" i="8"/>
  <c r="E434" i="8"/>
  <c r="C435" i="8"/>
  <c r="D435" i="8"/>
  <c r="E435" i="8"/>
  <c r="C436" i="8"/>
  <c r="D436" i="8"/>
  <c r="E436" i="8"/>
  <c r="C437" i="8"/>
  <c r="D437" i="8"/>
  <c r="E437" i="8"/>
  <c r="C438" i="8"/>
  <c r="D438" i="8"/>
  <c r="E438" i="8"/>
  <c r="C439" i="8"/>
  <c r="D439" i="8"/>
  <c r="E439" i="8"/>
  <c r="C440" i="8"/>
  <c r="D440" i="8"/>
  <c r="E440" i="8"/>
  <c r="C441" i="8"/>
  <c r="D441" i="8"/>
  <c r="E441" i="8"/>
  <c r="C442" i="8"/>
  <c r="D442" i="8"/>
  <c r="E442" i="8"/>
  <c r="C443" i="8"/>
  <c r="D443" i="8"/>
  <c r="E443" i="8"/>
  <c r="C444" i="8"/>
  <c r="D444" i="8"/>
  <c r="E444" i="8"/>
  <c r="C445" i="8"/>
  <c r="D445" i="8"/>
  <c r="E445" i="8"/>
  <c r="C446" i="8"/>
  <c r="D446" i="8"/>
  <c r="E446" i="8"/>
  <c r="C447" i="8"/>
  <c r="D447" i="8"/>
  <c r="E447" i="8"/>
  <c r="C448" i="8"/>
  <c r="D448" i="8"/>
  <c r="E448" i="8"/>
  <c r="C449" i="8"/>
  <c r="D449" i="8"/>
  <c r="E449" i="8"/>
  <c r="C450" i="8"/>
  <c r="D450" i="8"/>
  <c r="E450" i="8"/>
  <c r="C451" i="8"/>
  <c r="D451" i="8"/>
  <c r="E451" i="8"/>
  <c r="C452" i="8"/>
  <c r="D452" i="8"/>
  <c r="E452" i="8"/>
  <c r="C453" i="8"/>
  <c r="D453" i="8"/>
  <c r="E453" i="8"/>
  <c r="C454" i="8"/>
  <c r="D454" i="8"/>
  <c r="E454" i="8"/>
  <c r="C455" i="8"/>
  <c r="D455" i="8"/>
  <c r="E455" i="8"/>
  <c r="C456" i="8"/>
  <c r="D456" i="8"/>
  <c r="E456" i="8"/>
  <c r="C457" i="8"/>
  <c r="D457" i="8"/>
  <c r="E457" i="8"/>
  <c r="C458" i="8"/>
  <c r="D458" i="8"/>
  <c r="E458" i="8"/>
  <c r="C459" i="8"/>
  <c r="D459" i="8"/>
  <c r="E459" i="8"/>
  <c r="C460" i="8"/>
  <c r="D460" i="8"/>
  <c r="E460" i="8"/>
  <c r="C461" i="8"/>
  <c r="D461" i="8"/>
  <c r="E461" i="8"/>
  <c r="C462" i="8"/>
  <c r="D462" i="8"/>
  <c r="E462" i="8"/>
  <c r="C463" i="8"/>
  <c r="D463" i="8"/>
  <c r="E463" i="8"/>
  <c r="C464" i="8"/>
  <c r="D464" i="8"/>
  <c r="E464" i="8"/>
  <c r="C465" i="8"/>
  <c r="D465" i="8"/>
  <c r="E465" i="8"/>
  <c r="C466" i="8"/>
  <c r="D466" i="8"/>
  <c r="E466" i="8"/>
  <c r="C467" i="8"/>
  <c r="D467" i="8"/>
  <c r="E467" i="8"/>
  <c r="C468" i="8"/>
  <c r="D468" i="8"/>
  <c r="E468" i="8"/>
  <c r="C469" i="8"/>
  <c r="D469" i="8"/>
  <c r="E469" i="8"/>
  <c r="C470" i="8"/>
  <c r="D470" i="8"/>
  <c r="E470" i="8"/>
  <c r="C471" i="8"/>
  <c r="D471" i="8"/>
  <c r="E471" i="8"/>
  <c r="C472" i="8"/>
  <c r="D472" i="8"/>
  <c r="E472" i="8"/>
  <c r="C473" i="8"/>
  <c r="D473" i="8"/>
  <c r="E473" i="8"/>
  <c r="C474" i="8"/>
  <c r="D474" i="8"/>
  <c r="E474" i="8"/>
  <c r="C475" i="8"/>
  <c r="D475" i="8"/>
  <c r="E475" i="8"/>
  <c r="C476" i="8"/>
  <c r="D476" i="8"/>
  <c r="E476" i="8"/>
  <c r="C477" i="8"/>
  <c r="D477" i="8"/>
  <c r="E477" i="8"/>
  <c r="C478" i="8"/>
  <c r="D478" i="8"/>
  <c r="E478" i="8"/>
  <c r="C479" i="8"/>
  <c r="D479" i="8"/>
  <c r="E479" i="8"/>
  <c r="C480" i="8"/>
  <c r="D480" i="8"/>
  <c r="E480" i="8"/>
  <c r="C481" i="8"/>
  <c r="D481" i="8"/>
  <c r="E481" i="8"/>
  <c r="C482" i="8"/>
  <c r="D482" i="8"/>
  <c r="E482" i="8"/>
  <c r="C483" i="8"/>
  <c r="D483" i="8"/>
  <c r="E483" i="8"/>
  <c r="C484" i="8"/>
  <c r="D484" i="8"/>
  <c r="E484" i="8"/>
  <c r="C485" i="8"/>
  <c r="D485" i="8"/>
  <c r="E485" i="8"/>
  <c r="C486" i="8"/>
  <c r="D486" i="8"/>
  <c r="E486" i="8"/>
  <c r="C487" i="8"/>
  <c r="D487" i="8"/>
  <c r="E487" i="8"/>
  <c r="C488" i="8"/>
  <c r="D488" i="8"/>
  <c r="E488" i="8"/>
  <c r="C489" i="8"/>
  <c r="D489" i="8"/>
  <c r="E489" i="8"/>
  <c r="C490" i="8"/>
  <c r="D490" i="8"/>
  <c r="E490" i="8"/>
  <c r="C491" i="8"/>
  <c r="D491" i="8"/>
  <c r="E491" i="8"/>
  <c r="C492" i="8"/>
  <c r="D492" i="8"/>
  <c r="E492" i="8"/>
  <c r="C493" i="8"/>
  <c r="D493" i="8"/>
  <c r="E493" i="8"/>
  <c r="C494" i="8"/>
  <c r="D494" i="8"/>
  <c r="E494" i="8"/>
  <c r="C495" i="8"/>
  <c r="D495" i="8"/>
  <c r="E495" i="8"/>
  <c r="C496" i="8"/>
  <c r="D496" i="8"/>
  <c r="E496" i="8"/>
  <c r="C497" i="8"/>
  <c r="D497" i="8"/>
  <c r="E497" i="8"/>
  <c r="C498" i="8"/>
  <c r="D498" i="8"/>
  <c r="E498" i="8"/>
  <c r="C499" i="8"/>
  <c r="D499" i="8"/>
  <c r="E499" i="8"/>
  <c r="C500" i="8"/>
  <c r="D500" i="8"/>
  <c r="E500" i="8"/>
  <c r="C501" i="8"/>
  <c r="D501" i="8"/>
  <c r="E501" i="8"/>
  <c r="C502" i="8"/>
  <c r="D502" i="8"/>
  <c r="E502" i="8"/>
  <c r="C503" i="8"/>
  <c r="D503" i="8"/>
  <c r="E503" i="8"/>
  <c r="C504" i="8"/>
  <c r="D504" i="8"/>
  <c r="E504" i="8"/>
  <c r="C505" i="8"/>
  <c r="D505" i="8"/>
  <c r="E505" i="8"/>
  <c r="C506" i="8"/>
  <c r="D506" i="8"/>
  <c r="E506" i="8"/>
  <c r="C507" i="8"/>
  <c r="D507" i="8"/>
  <c r="E507" i="8"/>
  <c r="C508" i="8"/>
  <c r="D508" i="8"/>
  <c r="E508" i="8"/>
  <c r="C509" i="8"/>
  <c r="D509" i="8"/>
  <c r="E509" i="8"/>
  <c r="C510" i="8"/>
  <c r="D510" i="8"/>
  <c r="E510" i="8"/>
  <c r="C511" i="8"/>
  <c r="D511" i="8"/>
  <c r="E511" i="8"/>
  <c r="C512" i="8"/>
  <c r="D512" i="8"/>
  <c r="E512" i="8"/>
  <c r="C513" i="8"/>
  <c r="D513" i="8"/>
  <c r="E513" i="8"/>
  <c r="C514" i="8"/>
  <c r="D514" i="8"/>
  <c r="E514" i="8"/>
  <c r="C515" i="8"/>
  <c r="D515" i="8"/>
  <c r="E515" i="8"/>
  <c r="C516" i="8"/>
  <c r="D516" i="8"/>
  <c r="E516" i="8"/>
  <c r="C517" i="8"/>
  <c r="D517" i="8"/>
  <c r="E517" i="8"/>
  <c r="C518" i="8"/>
  <c r="D518" i="8"/>
  <c r="E518" i="8"/>
  <c r="C519" i="8"/>
  <c r="D519" i="8"/>
  <c r="E519" i="8"/>
  <c r="C520" i="8"/>
  <c r="D520" i="8"/>
  <c r="E520" i="8"/>
  <c r="C521" i="8"/>
  <c r="D521" i="8"/>
  <c r="E521" i="8"/>
  <c r="C522" i="8"/>
  <c r="D522" i="8"/>
  <c r="E522" i="8"/>
  <c r="C523" i="8"/>
  <c r="D523" i="8"/>
  <c r="E523" i="8"/>
  <c r="C524" i="8"/>
  <c r="D524" i="8"/>
  <c r="E524" i="8"/>
  <c r="C525" i="8"/>
  <c r="D525" i="8"/>
  <c r="E525" i="8"/>
  <c r="C526" i="8"/>
  <c r="D526" i="8"/>
  <c r="E526" i="8"/>
  <c r="C527" i="8"/>
  <c r="D527" i="8"/>
  <c r="E527" i="8"/>
  <c r="C528" i="8"/>
  <c r="D528" i="8"/>
  <c r="E528" i="8"/>
  <c r="C529" i="8"/>
  <c r="D529" i="8"/>
  <c r="E529" i="8"/>
  <c r="C530" i="8"/>
  <c r="D530" i="8"/>
  <c r="E530" i="8"/>
  <c r="C531" i="8"/>
  <c r="D531" i="8"/>
  <c r="E531" i="8"/>
  <c r="C532" i="8"/>
  <c r="D532" i="8"/>
  <c r="E532" i="8"/>
  <c r="C533" i="8"/>
  <c r="D533" i="8"/>
  <c r="E533" i="8"/>
  <c r="C534" i="8"/>
  <c r="D534" i="8"/>
  <c r="E534" i="8"/>
  <c r="C535" i="8"/>
  <c r="D535" i="8"/>
  <c r="E535" i="8"/>
  <c r="C536" i="8"/>
  <c r="D536" i="8"/>
  <c r="E536" i="8"/>
  <c r="C537" i="8"/>
  <c r="D537" i="8"/>
  <c r="E537" i="8"/>
  <c r="C538" i="8"/>
  <c r="D538" i="8"/>
  <c r="E538" i="8"/>
  <c r="C539" i="8"/>
  <c r="D539" i="8"/>
  <c r="E539" i="8"/>
  <c r="C540" i="8"/>
  <c r="D540" i="8"/>
  <c r="E540" i="8"/>
  <c r="C541" i="8"/>
  <c r="D541" i="8"/>
  <c r="E541" i="8"/>
  <c r="C542" i="8"/>
  <c r="D542" i="8"/>
  <c r="E542" i="8"/>
  <c r="C543" i="8"/>
  <c r="D543" i="8"/>
  <c r="E543" i="8"/>
  <c r="C544" i="8"/>
  <c r="D544" i="8"/>
  <c r="E544" i="8"/>
  <c r="C545" i="8"/>
  <c r="D545" i="8"/>
  <c r="E545" i="8"/>
  <c r="C546" i="8"/>
  <c r="D546" i="8"/>
  <c r="E546" i="8"/>
  <c r="C547" i="8"/>
  <c r="D547" i="8"/>
  <c r="E547" i="8"/>
  <c r="C548" i="8"/>
  <c r="D548" i="8"/>
  <c r="E548" i="8"/>
  <c r="C549" i="8"/>
  <c r="D549" i="8"/>
  <c r="E549" i="8"/>
  <c r="C550" i="8"/>
  <c r="D550" i="8"/>
  <c r="E550" i="8"/>
  <c r="C551" i="8"/>
  <c r="D551" i="8"/>
  <c r="E551" i="8"/>
  <c r="C552" i="8"/>
  <c r="D552" i="8"/>
  <c r="E552" i="8"/>
  <c r="C553" i="8"/>
  <c r="D553" i="8"/>
  <c r="E553" i="8"/>
  <c r="C554" i="8"/>
  <c r="D554" i="8"/>
  <c r="E554" i="8"/>
  <c r="C555" i="8"/>
  <c r="D555" i="8"/>
  <c r="E555" i="8"/>
  <c r="C556" i="8"/>
  <c r="D556" i="8"/>
  <c r="E556" i="8"/>
  <c r="C557" i="8"/>
  <c r="D557" i="8"/>
  <c r="E557" i="8"/>
  <c r="C558" i="8"/>
  <c r="D558" i="8"/>
  <c r="E558" i="8"/>
  <c r="C559" i="8"/>
  <c r="D559" i="8"/>
  <c r="E559" i="8"/>
  <c r="C560" i="8"/>
  <c r="D560" i="8"/>
  <c r="E560" i="8"/>
  <c r="C561" i="8"/>
  <c r="D561" i="8"/>
  <c r="E561" i="8"/>
  <c r="C562" i="8"/>
  <c r="D562" i="8"/>
  <c r="E562" i="8"/>
  <c r="C563" i="8"/>
  <c r="D563" i="8"/>
  <c r="E563" i="8"/>
  <c r="C564" i="8"/>
  <c r="D564" i="8"/>
  <c r="E564" i="8"/>
  <c r="C565" i="8"/>
  <c r="D565" i="8"/>
  <c r="E565" i="8"/>
  <c r="C566" i="8"/>
  <c r="D566" i="8"/>
  <c r="E566" i="8"/>
  <c r="C567" i="8"/>
  <c r="D567" i="8"/>
  <c r="E567" i="8"/>
  <c r="C568" i="8"/>
  <c r="D568" i="8"/>
  <c r="E568" i="8"/>
  <c r="C569" i="8"/>
  <c r="D569" i="8"/>
  <c r="E569" i="8"/>
  <c r="C570" i="8"/>
  <c r="D570" i="8"/>
  <c r="E570" i="8"/>
  <c r="C571" i="8"/>
  <c r="D571" i="8"/>
  <c r="E571" i="8"/>
  <c r="C572" i="8"/>
  <c r="D572" i="8"/>
  <c r="E572" i="8"/>
  <c r="C573" i="8"/>
  <c r="D573" i="8"/>
  <c r="E573" i="8"/>
  <c r="C574" i="8"/>
  <c r="D574" i="8"/>
  <c r="E574" i="8"/>
  <c r="C575" i="8"/>
  <c r="D575" i="8"/>
  <c r="E575" i="8"/>
  <c r="C576" i="8"/>
  <c r="D576" i="8"/>
  <c r="E576" i="8"/>
  <c r="C577" i="8"/>
  <c r="D577" i="8"/>
  <c r="E577" i="8"/>
  <c r="C578" i="8"/>
  <c r="D578" i="8"/>
  <c r="E578" i="8"/>
  <c r="C579" i="8"/>
  <c r="D579" i="8"/>
  <c r="E579" i="8"/>
  <c r="C580" i="8"/>
  <c r="D580" i="8"/>
  <c r="E580" i="8"/>
  <c r="C581" i="8"/>
  <c r="D581" i="8"/>
  <c r="E581" i="8"/>
  <c r="C582" i="8"/>
  <c r="D582" i="8"/>
  <c r="E582" i="8"/>
  <c r="C583" i="8"/>
  <c r="D583" i="8"/>
  <c r="E583" i="8"/>
  <c r="C584" i="8"/>
  <c r="D584" i="8"/>
  <c r="E584" i="8"/>
  <c r="C585" i="8"/>
  <c r="D585" i="8"/>
  <c r="E585" i="8"/>
  <c r="C586" i="8"/>
  <c r="D586" i="8"/>
  <c r="E586" i="8"/>
  <c r="C587" i="8"/>
  <c r="D587" i="8"/>
  <c r="E587" i="8"/>
  <c r="C588" i="8"/>
  <c r="D588" i="8"/>
  <c r="E588" i="8"/>
  <c r="C589" i="8"/>
  <c r="D589" i="8"/>
  <c r="E589" i="8"/>
  <c r="C590" i="8"/>
  <c r="D590" i="8"/>
  <c r="E590" i="8"/>
  <c r="C591" i="8"/>
  <c r="D591" i="8"/>
  <c r="E591" i="8"/>
  <c r="C592" i="8"/>
  <c r="D592" i="8"/>
  <c r="E592" i="8"/>
  <c r="C593" i="8"/>
  <c r="D593" i="8"/>
  <c r="E593" i="8"/>
  <c r="C594" i="8"/>
  <c r="D594" i="8"/>
  <c r="E594" i="8"/>
  <c r="C595" i="8"/>
  <c r="D595" i="8"/>
  <c r="E595" i="8"/>
  <c r="C596" i="8"/>
  <c r="D596" i="8"/>
  <c r="E596" i="8"/>
  <c r="C597" i="8"/>
  <c r="D597" i="8"/>
  <c r="E597" i="8"/>
  <c r="C598" i="8"/>
  <c r="D598" i="8"/>
  <c r="E598" i="8"/>
  <c r="C599" i="8"/>
  <c r="D599" i="8"/>
  <c r="E599" i="8"/>
  <c r="C600" i="8"/>
  <c r="D600" i="8"/>
  <c r="E600" i="8"/>
  <c r="C601" i="8"/>
  <c r="D601" i="8"/>
  <c r="E601" i="8"/>
  <c r="C602" i="8"/>
  <c r="D602" i="8"/>
  <c r="E602" i="8"/>
  <c r="C603" i="8"/>
  <c r="D603" i="8"/>
  <c r="E603" i="8"/>
  <c r="C604" i="8"/>
  <c r="D604" i="8"/>
  <c r="E604" i="8"/>
  <c r="C605" i="8"/>
  <c r="D605" i="8"/>
  <c r="E605" i="8"/>
  <c r="C606" i="8"/>
  <c r="D606" i="8"/>
  <c r="E606" i="8"/>
  <c r="C607" i="8"/>
  <c r="D607" i="8"/>
  <c r="E607" i="8"/>
  <c r="C608" i="8"/>
  <c r="D608" i="8"/>
  <c r="E608" i="8"/>
  <c r="C609" i="8"/>
  <c r="D609" i="8"/>
  <c r="E609" i="8"/>
  <c r="C610" i="8"/>
  <c r="D610" i="8"/>
  <c r="E610" i="8"/>
  <c r="C611" i="8"/>
  <c r="D611" i="8"/>
  <c r="E611" i="8"/>
  <c r="C612" i="8"/>
  <c r="D612" i="8"/>
  <c r="E612" i="8"/>
  <c r="C613" i="8"/>
  <c r="D613" i="8"/>
  <c r="E613" i="8"/>
  <c r="C614" i="8"/>
  <c r="D614" i="8"/>
  <c r="E614" i="8"/>
  <c r="C615" i="8"/>
  <c r="D615" i="8"/>
  <c r="E615" i="8"/>
  <c r="C616" i="8"/>
  <c r="D616" i="8"/>
  <c r="E616" i="8"/>
  <c r="C617" i="8"/>
  <c r="D617" i="8"/>
  <c r="E617" i="8"/>
  <c r="C618" i="8"/>
  <c r="D618" i="8"/>
  <c r="E618" i="8"/>
  <c r="C619" i="8"/>
  <c r="D619" i="8"/>
  <c r="E619" i="8"/>
  <c r="C620" i="8"/>
  <c r="D620" i="8"/>
  <c r="E620" i="8"/>
  <c r="C621" i="8"/>
  <c r="D621" i="8"/>
  <c r="E621" i="8"/>
  <c r="C622" i="8"/>
  <c r="D622" i="8"/>
  <c r="E622" i="8"/>
  <c r="C623" i="8"/>
  <c r="D623" i="8"/>
  <c r="E623" i="8"/>
  <c r="C624" i="8"/>
  <c r="D624" i="8"/>
  <c r="E624" i="8"/>
  <c r="C625" i="8"/>
  <c r="D625" i="8"/>
  <c r="E625" i="8"/>
  <c r="C626" i="8"/>
  <c r="D626" i="8"/>
  <c r="E626" i="8"/>
  <c r="C627" i="8"/>
  <c r="D627" i="8"/>
  <c r="E627" i="8"/>
  <c r="C628" i="8"/>
  <c r="D628" i="8"/>
  <c r="E628" i="8"/>
  <c r="C629" i="8"/>
  <c r="D629" i="8"/>
  <c r="E629" i="8"/>
  <c r="C630" i="8"/>
  <c r="D630" i="8"/>
  <c r="E630" i="8"/>
  <c r="C631" i="8"/>
  <c r="D631" i="8"/>
  <c r="E631" i="8"/>
  <c r="C632" i="8"/>
  <c r="D632" i="8"/>
  <c r="E632" i="8"/>
  <c r="C633" i="8"/>
  <c r="D633" i="8"/>
  <c r="E633" i="8"/>
  <c r="C634" i="8"/>
  <c r="D634" i="8"/>
  <c r="E634" i="8"/>
  <c r="C635" i="8"/>
  <c r="D635" i="8"/>
  <c r="E635" i="8"/>
  <c r="C636" i="8"/>
  <c r="D636" i="8"/>
  <c r="E636" i="8"/>
  <c r="C637" i="8"/>
  <c r="D637" i="8"/>
  <c r="E637" i="8"/>
  <c r="C638" i="8"/>
  <c r="D638" i="8"/>
  <c r="E638" i="8"/>
  <c r="C639" i="8"/>
  <c r="D639" i="8"/>
  <c r="E639" i="8"/>
  <c r="C640" i="8"/>
  <c r="D640" i="8"/>
  <c r="E640" i="8"/>
  <c r="C641" i="8"/>
  <c r="D641" i="8"/>
  <c r="E641" i="8"/>
  <c r="C642" i="8"/>
  <c r="D642" i="8"/>
  <c r="E642" i="8"/>
  <c r="C643" i="8"/>
  <c r="D643" i="8"/>
  <c r="E643" i="8"/>
  <c r="C644" i="8"/>
  <c r="D644" i="8"/>
  <c r="E644" i="8"/>
  <c r="C645" i="8"/>
  <c r="D645" i="8"/>
  <c r="E645" i="8"/>
  <c r="C646" i="8"/>
  <c r="D646" i="8"/>
  <c r="E646" i="8"/>
  <c r="C647" i="8"/>
  <c r="D647" i="8"/>
  <c r="E647" i="8"/>
  <c r="C648" i="8"/>
  <c r="D648" i="8"/>
  <c r="E648" i="8"/>
  <c r="C649" i="8"/>
  <c r="D649" i="8"/>
  <c r="E649" i="8"/>
  <c r="C650" i="8"/>
  <c r="D650" i="8"/>
  <c r="E650" i="8"/>
  <c r="C651" i="8"/>
  <c r="D651" i="8"/>
  <c r="E651" i="8"/>
  <c r="C652" i="8"/>
  <c r="D652" i="8"/>
  <c r="E652" i="8"/>
  <c r="C653" i="8"/>
  <c r="D653" i="8"/>
  <c r="E653" i="8"/>
  <c r="C654" i="8"/>
  <c r="D654" i="8"/>
  <c r="E654" i="8"/>
  <c r="C655" i="8"/>
  <c r="D655" i="8"/>
  <c r="E655" i="8"/>
  <c r="C656" i="8"/>
  <c r="D656" i="8"/>
  <c r="E656" i="8"/>
  <c r="C657" i="8"/>
  <c r="D657" i="8"/>
  <c r="E657" i="8"/>
  <c r="C658" i="8"/>
  <c r="D658" i="8"/>
  <c r="E658" i="8"/>
  <c r="C659" i="8"/>
  <c r="D659" i="8"/>
  <c r="E659" i="8"/>
  <c r="C660" i="8"/>
  <c r="D660" i="8"/>
  <c r="E660" i="8"/>
  <c r="C661" i="8"/>
  <c r="D661" i="8"/>
  <c r="E661" i="8"/>
  <c r="C662" i="8"/>
  <c r="D662" i="8"/>
  <c r="E662" i="8"/>
  <c r="C663" i="8"/>
  <c r="D663" i="8"/>
  <c r="E663" i="8"/>
  <c r="C664" i="8"/>
  <c r="D664" i="8"/>
  <c r="E664" i="8"/>
  <c r="C665" i="8"/>
  <c r="D665" i="8"/>
  <c r="E665" i="8"/>
  <c r="C666" i="8"/>
  <c r="D666" i="8"/>
  <c r="E666" i="8"/>
  <c r="C667" i="8"/>
  <c r="D667" i="8"/>
  <c r="E667" i="8"/>
  <c r="C668" i="8"/>
  <c r="D668" i="8"/>
  <c r="E668" i="8"/>
  <c r="C669" i="8"/>
  <c r="D669" i="8"/>
  <c r="E669" i="8"/>
  <c r="C670" i="8"/>
  <c r="D670" i="8"/>
  <c r="E670" i="8"/>
  <c r="C671" i="8"/>
  <c r="D671" i="8"/>
  <c r="E671" i="8"/>
  <c r="C672" i="8"/>
  <c r="D672" i="8"/>
  <c r="E672" i="8"/>
  <c r="C673" i="8"/>
  <c r="D673" i="8"/>
  <c r="E673" i="8"/>
  <c r="C674" i="8"/>
  <c r="D674" i="8"/>
  <c r="E674" i="8"/>
  <c r="C675" i="8"/>
  <c r="D675" i="8"/>
  <c r="E675" i="8"/>
  <c r="C676" i="8"/>
  <c r="D676" i="8"/>
  <c r="E676" i="8"/>
  <c r="C677" i="8"/>
  <c r="D677" i="8"/>
  <c r="E677" i="8"/>
  <c r="C678" i="8"/>
  <c r="D678" i="8"/>
  <c r="E678" i="8"/>
  <c r="C679" i="8"/>
  <c r="D679" i="8"/>
  <c r="E679" i="8"/>
  <c r="C680" i="8"/>
  <c r="D680" i="8"/>
  <c r="E680" i="8"/>
  <c r="C681" i="8"/>
  <c r="D681" i="8"/>
  <c r="E681" i="8"/>
  <c r="C682" i="8"/>
  <c r="D682" i="8"/>
  <c r="E682" i="8"/>
  <c r="C683" i="8"/>
  <c r="D683" i="8"/>
  <c r="E683" i="8"/>
  <c r="C684" i="8"/>
  <c r="D684" i="8"/>
  <c r="E684" i="8"/>
  <c r="C685" i="8"/>
  <c r="D685" i="8"/>
  <c r="E685" i="8"/>
  <c r="C686" i="8"/>
  <c r="D686" i="8"/>
  <c r="E686" i="8"/>
  <c r="C687" i="8"/>
  <c r="D687" i="8"/>
  <c r="E687" i="8"/>
  <c r="C688" i="8"/>
  <c r="D688" i="8"/>
  <c r="E688" i="8"/>
  <c r="C689" i="8"/>
  <c r="D689" i="8"/>
  <c r="E689" i="8"/>
  <c r="C690" i="8"/>
  <c r="D690" i="8"/>
  <c r="E690" i="8"/>
  <c r="C691" i="8"/>
  <c r="D691" i="8"/>
  <c r="E691" i="8"/>
  <c r="C692" i="8"/>
  <c r="D692" i="8"/>
  <c r="E692" i="8"/>
  <c r="C693" i="8"/>
  <c r="D693" i="8"/>
  <c r="E693" i="8"/>
  <c r="C694" i="8"/>
  <c r="D694" i="8"/>
  <c r="E694" i="8"/>
  <c r="C695" i="8"/>
  <c r="D695" i="8"/>
  <c r="E695" i="8"/>
  <c r="C696" i="8"/>
  <c r="D696" i="8"/>
  <c r="E696" i="8"/>
  <c r="C697" i="8"/>
  <c r="D697" i="8"/>
  <c r="E697" i="8"/>
  <c r="C698" i="8"/>
  <c r="D698" i="8"/>
  <c r="E698" i="8"/>
  <c r="C699" i="8"/>
  <c r="D699" i="8"/>
  <c r="E699" i="8"/>
  <c r="C700" i="8"/>
  <c r="D700" i="8"/>
  <c r="E700" i="8"/>
  <c r="C701" i="8"/>
  <c r="D701" i="8"/>
  <c r="E701" i="8"/>
  <c r="C702" i="8"/>
  <c r="D702" i="8"/>
  <c r="E702" i="8"/>
  <c r="C703" i="8"/>
  <c r="D703" i="8"/>
  <c r="E703" i="8"/>
  <c r="C704" i="8"/>
  <c r="D704" i="8"/>
  <c r="E704" i="8"/>
  <c r="C705" i="8"/>
  <c r="D705" i="8"/>
  <c r="E705" i="8"/>
  <c r="C706" i="8"/>
  <c r="D706" i="8"/>
  <c r="E706" i="8"/>
  <c r="C707" i="8"/>
  <c r="D707" i="8"/>
  <c r="E707" i="8"/>
  <c r="C708" i="8"/>
  <c r="D708" i="8"/>
  <c r="E708" i="8"/>
  <c r="C709" i="8"/>
  <c r="D709" i="8"/>
  <c r="E709" i="8"/>
  <c r="C710" i="8"/>
  <c r="D710" i="8"/>
  <c r="E710" i="8"/>
  <c r="C711" i="8"/>
  <c r="D711" i="8"/>
  <c r="E711" i="8"/>
  <c r="C712" i="8"/>
  <c r="D712" i="8"/>
  <c r="E712" i="8"/>
  <c r="C713" i="8"/>
  <c r="D713" i="8"/>
  <c r="E713" i="8"/>
  <c r="C714" i="8"/>
  <c r="D714" i="8"/>
  <c r="E714" i="8"/>
  <c r="C715" i="8"/>
  <c r="D715" i="8"/>
  <c r="E715" i="8"/>
  <c r="C716" i="8"/>
  <c r="D716" i="8"/>
  <c r="E716" i="8"/>
  <c r="C717" i="8"/>
  <c r="D717" i="8"/>
  <c r="E717" i="8"/>
  <c r="C718" i="8"/>
  <c r="D718" i="8"/>
  <c r="E718" i="8"/>
  <c r="C719" i="8"/>
  <c r="D719" i="8"/>
  <c r="E719" i="8"/>
  <c r="C720" i="8"/>
  <c r="D720" i="8"/>
  <c r="E720" i="8"/>
  <c r="C721" i="8"/>
  <c r="D721" i="8"/>
  <c r="E721" i="8"/>
  <c r="C722" i="8"/>
  <c r="D722" i="8"/>
  <c r="E722" i="8"/>
  <c r="C723" i="8"/>
  <c r="D723" i="8"/>
  <c r="E723" i="8"/>
  <c r="C724" i="8"/>
  <c r="D724" i="8"/>
  <c r="E724" i="8"/>
  <c r="C725" i="8"/>
  <c r="D725" i="8"/>
  <c r="E725" i="8"/>
  <c r="C726" i="8"/>
  <c r="D726" i="8"/>
  <c r="E726" i="8"/>
  <c r="C727" i="8"/>
  <c r="D727" i="8"/>
  <c r="E727" i="8"/>
  <c r="C728" i="8"/>
  <c r="D728" i="8"/>
  <c r="E728" i="8"/>
  <c r="C729" i="8"/>
  <c r="D729" i="8"/>
  <c r="E729" i="8"/>
  <c r="C730" i="8"/>
  <c r="D730" i="8"/>
  <c r="E730" i="8"/>
  <c r="C731" i="8"/>
  <c r="D731" i="8"/>
  <c r="E731" i="8"/>
  <c r="C732" i="8"/>
  <c r="D732" i="8"/>
  <c r="E732" i="8"/>
  <c r="C733" i="8"/>
  <c r="D733" i="8"/>
  <c r="E733" i="8"/>
  <c r="C734" i="8"/>
  <c r="D734" i="8"/>
  <c r="E734" i="8"/>
  <c r="C735" i="8"/>
  <c r="D735" i="8"/>
  <c r="E735" i="8"/>
  <c r="C736" i="8"/>
  <c r="D736" i="8"/>
  <c r="E736" i="8"/>
  <c r="C737" i="8"/>
  <c r="D737" i="8"/>
  <c r="E737" i="8"/>
  <c r="C738" i="8"/>
  <c r="D738" i="8"/>
  <c r="E738" i="8"/>
  <c r="C739" i="8"/>
  <c r="D739" i="8"/>
  <c r="E739" i="8"/>
  <c r="C740" i="8"/>
  <c r="D740" i="8"/>
  <c r="E740" i="8"/>
  <c r="C741" i="8"/>
  <c r="D741" i="8"/>
  <c r="E741" i="8"/>
  <c r="C742" i="8"/>
  <c r="D742" i="8"/>
  <c r="E742" i="8"/>
  <c r="C743" i="8"/>
  <c r="D743" i="8"/>
  <c r="E743" i="8"/>
  <c r="C744" i="8"/>
  <c r="D744" i="8"/>
  <c r="E744" i="8"/>
  <c r="C745" i="8"/>
  <c r="D745" i="8"/>
  <c r="E745" i="8"/>
  <c r="C746" i="8"/>
  <c r="D746" i="8"/>
  <c r="E746" i="8"/>
  <c r="C747" i="8"/>
  <c r="D747" i="8"/>
  <c r="E747" i="8"/>
  <c r="C748" i="8"/>
  <c r="D748" i="8"/>
  <c r="E748" i="8"/>
  <c r="C749" i="8"/>
  <c r="D749" i="8"/>
  <c r="E749" i="8"/>
  <c r="C750" i="8"/>
  <c r="D750" i="8"/>
  <c r="E750" i="8"/>
  <c r="C751" i="8"/>
  <c r="D751" i="8"/>
  <c r="E751" i="8"/>
  <c r="C752" i="8"/>
  <c r="D752" i="8"/>
  <c r="E752" i="8"/>
  <c r="C753" i="8"/>
  <c r="D753" i="8"/>
  <c r="E753" i="8"/>
  <c r="C754" i="8"/>
  <c r="D754" i="8"/>
  <c r="E754" i="8"/>
  <c r="C755" i="8"/>
  <c r="D755" i="8"/>
  <c r="E755" i="8"/>
  <c r="C756" i="8"/>
  <c r="D756" i="8"/>
  <c r="E756" i="8"/>
  <c r="C757" i="8"/>
  <c r="D757" i="8"/>
  <c r="E757" i="8"/>
  <c r="C758" i="8"/>
  <c r="D758" i="8"/>
  <c r="E758" i="8"/>
  <c r="C759" i="8"/>
  <c r="D759" i="8"/>
  <c r="E759" i="8"/>
  <c r="C760" i="8"/>
  <c r="D760" i="8"/>
  <c r="E760" i="8"/>
  <c r="C761" i="8"/>
  <c r="D761" i="8"/>
  <c r="E761" i="8"/>
  <c r="C762" i="8"/>
  <c r="D762" i="8"/>
  <c r="E762" i="8"/>
  <c r="C763" i="8"/>
  <c r="D763" i="8"/>
  <c r="E763" i="8"/>
  <c r="C764" i="8"/>
  <c r="D764" i="8"/>
  <c r="E764" i="8"/>
  <c r="C765" i="8"/>
  <c r="D765" i="8"/>
  <c r="E765" i="8"/>
  <c r="C766" i="8"/>
  <c r="D766" i="8"/>
  <c r="E766" i="8"/>
  <c r="C767" i="8"/>
  <c r="D767" i="8"/>
  <c r="E767" i="8"/>
  <c r="C768" i="8"/>
  <c r="D768" i="8"/>
  <c r="E768" i="8"/>
  <c r="C769" i="8"/>
  <c r="D769" i="8"/>
  <c r="E769" i="8"/>
  <c r="C770" i="8"/>
  <c r="D770" i="8"/>
  <c r="E770" i="8"/>
  <c r="C771" i="8"/>
  <c r="D771" i="8"/>
  <c r="E771" i="8"/>
  <c r="C772" i="8"/>
  <c r="D772" i="8"/>
  <c r="E772" i="8"/>
  <c r="C773" i="8"/>
  <c r="D773" i="8"/>
  <c r="E773" i="8"/>
  <c r="C774" i="8"/>
  <c r="D774" i="8"/>
  <c r="E774" i="8"/>
  <c r="C775" i="8"/>
  <c r="D775" i="8"/>
  <c r="E775" i="8"/>
  <c r="C776" i="8"/>
  <c r="D776" i="8"/>
  <c r="E776" i="8"/>
  <c r="C777" i="8"/>
  <c r="D777" i="8"/>
  <c r="E777" i="8"/>
  <c r="C778" i="8"/>
  <c r="D778" i="8"/>
  <c r="E778" i="8"/>
  <c r="C779" i="8"/>
  <c r="D779" i="8"/>
  <c r="E779" i="8"/>
  <c r="C780" i="8"/>
  <c r="D780" i="8"/>
  <c r="E780" i="8"/>
  <c r="C781" i="8"/>
  <c r="D781" i="8"/>
  <c r="E781" i="8"/>
  <c r="C782" i="8"/>
  <c r="D782" i="8"/>
  <c r="E782" i="8"/>
  <c r="C783" i="8"/>
  <c r="D783" i="8"/>
  <c r="E783" i="8"/>
  <c r="C784" i="8"/>
  <c r="D784" i="8"/>
  <c r="E784" i="8"/>
  <c r="C785" i="8"/>
  <c r="D785" i="8"/>
  <c r="E785" i="8"/>
  <c r="C786" i="8"/>
  <c r="D786" i="8"/>
  <c r="E786" i="8"/>
  <c r="C787" i="8"/>
  <c r="D787" i="8"/>
  <c r="E787" i="8"/>
  <c r="C788" i="8"/>
  <c r="D788" i="8"/>
  <c r="E788" i="8"/>
  <c r="C789" i="8"/>
  <c r="D789" i="8"/>
  <c r="E789" i="8"/>
  <c r="C790" i="8"/>
  <c r="D790" i="8"/>
  <c r="E790" i="8"/>
  <c r="C791" i="8"/>
  <c r="D791" i="8"/>
  <c r="E791" i="8"/>
  <c r="C792" i="8"/>
  <c r="D792" i="8"/>
  <c r="E792" i="8"/>
  <c r="C793" i="8"/>
  <c r="D793" i="8"/>
  <c r="E793" i="8"/>
  <c r="C794" i="8"/>
  <c r="D794" i="8"/>
  <c r="E794" i="8"/>
  <c r="C795" i="8"/>
  <c r="D795" i="8"/>
  <c r="E795" i="8"/>
  <c r="C796" i="8"/>
  <c r="D796" i="8"/>
  <c r="E796" i="8"/>
  <c r="C797" i="8"/>
  <c r="D797" i="8"/>
  <c r="E797" i="8"/>
  <c r="C798" i="8"/>
  <c r="D798" i="8"/>
  <c r="E798" i="8"/>
  <c r="C799" i="8"/>
  <c r="D799" i="8"/>
  <c r="E799" i="8"/>
  <c r="C800" i="8"/>
  <c r="D800" i="8"/>
  <c r="E800" i="8"/>
  <c r="C801" i="8"/>
  <c r="D801" i="8"/>
  <c r="E801" i="8"/>
  <c r="C802" i="8"/>
  <c r="D802" i="8"/>
  <c r="E802" i="8"/>
  <c r="C803" i="8"/>
  <c r="D803" i="8"/>
  <c r="E803" i="8"/>
  <c r="C804" i="8"/>
  <c r="D804" i="8"/>
  <c r="E804" i="8"/>
  <c r="C805" i="8"/>
  <c r="D805" i="8"/>
  <c r="E805" i="8"/>
  <c r="C806" i="8"/>
  <c r="D806" i="8"/>
  <c r="E806" i="8"/>
  <c r="C807" i="8"/>
  <c r="D807" i="8"/>
  <c r="E807" i="8"/>
  <c r="C808" i="8"/>
  <c r="D808" i="8"/>
  <c r="E808" i="8"/>
  <c r="C809" i="8"/>
  <c r="D809" i="8"/>
  <c r="E809" i="8"/>
  <c r="C810" i="8"/>
  <c r="D810" i="8"/>
  <c r="E810" i="8"/>
  <c r="C811" i="8"/>
  <c r="D811" i="8"/>
  <c r="E811" i="8"/>
  <c r="C812" i="8"/>
  <c r="D812" i="8"/>
  <c r="E812" i="8"/>
  <c r="C813" i="8"/>
  <c r="D813" i="8"/>
  <c r="E813" i="8"/>
  <c r="C814" i="8"/>
  <c r="D814" i="8"/>
  <c r="E814" i="8"/>
  <c r="C815" i="8"/>
  <c r="D815" i="8"/>
  <c r="E815" i="8"/>
  <c r="C816" i="8"/>
  <c r="D816" i="8"/>
  <c r="E816" i="8"/>
  <c r="C817" i="8"/>
  <c r="D817" i="8"/>
  <c r="E817" i="8"/>
  <c r="C818" i="8"/>
  <c r="D818" i="8"/>
  <c r="E818" i="8"/>
  <c r="C819" i="8"/>
  <c r="D819" i="8"/>
  <c r="E819" i="8"/>
  <c r="C820" i="8"/>
  <c r="D820" i="8"/>
  <c r="E820" i="8"/>
  <c r="C821" i="8"/>
  <c r="D821" i="8"/>
  <c r="E821" i="8"/>
  <c r="C822" i="8"/>
  <c r="D822" i="8"/>
  <c r="E822" i="8"/>
  <c r="C823" i="8"/>
  <c r="D823" i="8"/>
  <c r="E823" i="8"/>
  <c r="C824" i="8"/>
  <c r="D824" i="8"/>
  <c r="E824" i="8"/>
  <c r="C825" i="8"/>
  <c r="D825" i="8"/>
  <c r="E825" i="8"/>
  <c r="C826" i="8"/>
  <c r="D826" i="8"/>
  <c r="E826" i="8"/>
  <c r="C827" i="8"/>
  <c r="D827" i="8"/>
  <c r="E827" i="8"/>
  <c r="C828" i="8"/>
  <c r="D828" i="8"/>
  <c r="E828" i="8"/>
  <c r="C829" i="8"/>
  <c r="D829" i="8"/>
  <c r="E829" i="8"/>
  <c r="C830" i="8"/>
  <c r="D830" i="8"/>
  <c r="E830" i="8"/>
  <c r="C831" i="8"/>
  <c r="D831" i="8"/>
  <c r="E831" i="8"/>
  <c r="C832" i="8"/>
  <c r="D832" i="8"/>
  <c r="E832" i="8"/>
  <c r="C833" i="8"/>
  <c r="D833" i="8"/>
  <c r="E833" i="8"/>
  <c r="C834" i="8"/>
  <c r="D834" i="8"/>
  <c r="E834" i="8"/>
  <c r="C835" i="8"/>
  <c r="D835" i="8"/>
  <c r="E835" i="8"/>
  <c r="C836" i="8"/>
  <c r="D836" i="8"/>
  <c r="E836" i="8"/>
  <c r="C837" i="8"/>
  <c r="D837" i="8"/>
  <c r="E837" i="8"/>
  <c r="C838" i="8"/>
  <c r="D838" i="8"/>
  <c r="E838" i="8"/>
  <c r="C839" i="8"/>
  <c r="D839" i="8"/>
  <c r="E839" i="8"/>
  <c r="C840" i="8"/>
  <c r="D840" i="8"/>
  <c r="E840" i="8"/>
  <c r="C841" i="8"/>
  <c r="D841" i="8"/>
  <c r="E841" i="8"/>
  <c r="C842" i="8"/>
  <c r="D842" i="8"/>
  <c r="E842" i="8"/>
  <c r="C843" i="8"/>
  <c r="D843" i="8"/>
  <c r="E843" i="8"/>
  <c r="C844" i="8"/>
  <c r="D844" i="8"/>
  <c r="E844" i="8"/>
  <c r="C845" i="8"/>
  <c r="D845" i="8"/>
  <c r="E845" i="8"/>
  <c r="C846" i="8"/>
  <c r="D846" i="8"/>
  <c r="E846" i="8"/>
  <c r="C847" i="8"/>
  <c r="D847" i="8"/>
  <c r="E847" i="8"/>
  <c r="C848" i="8"/>
  <c r="D848" i="8"/>
  <c r="E848" i="8"/>
  <c r="C849" i="8"/>
  <c r="D849" i="8"/>
  <c r="E849" i="8"/>
  <c r="C850" i="8"/>
  <c r="D850" i="8"/>
  <c r="E850" i="8"/>
  <c r="C851" i="8"/>
  <c r="D851" i="8"/>
  <c r="E851" i="8"/>
  <c r="C852" i="8"/>
  <c r="D852" i="8"/>
  <c r="E852" i="8"/>
  <c r="C853" i="8"/>
  <c r="D853" i="8"/>
  <c r="E853" i="8"/>
  <c r="C854" i="8"/>
  <c r="D854" i="8"/>
  <c r="E854" i="8"/>
  <c r="C855" i="8"/>
  <c r="D855" i="8"/>
  <c r="E855" i="8"/>
  <c r="C856" i="8"/>
  <c r="D856" i="8"/>
  <c r="E856" i="8"/>
  <c r="C857" i="8"/>
  <c r="D857" i="8"/>
  <c r="E857" i="8"/>
  <c r="C858" i="8"/>
  <c r="D858" i="8"/>
  <c r="E858" i="8"/>
  <c r="C859" i="8"/>
  <c r="D859" i="8"/>
  <c r="E859" i="8"/>
  <c r="C860" i="8"/>
  <c r="D860" i="8"/>
  <c r="E860" i="8"/>
  <c r="C861" i="8"/>
  <c r="D861" i="8"/>
  <c r="E861" i="8"/>
  <c r="C862" i="8"/>
  <c r="D862" i="8"/>
  <c r="E862" i="8"/>
  <c r="C863" i="8"/>
  <c r="D863" i="8"/>
  <c r="E863" i="8"/>
  <c r="C864" i="8"/>
  <c r="D864" i="8"/>
  <c r="E864" i="8"/>
  <c r="C865" i="8"/>
  <c r="D865" i="8"/>
  <c r="E865" i="8"/>
  <c r="C866" i="8"/>
  <c r="D866" i="8"/>
  <c r="E866" i="8"/>
  <c r="C867" i="8"/>
  <c r="D867" i="8"/>
  <c r="E867" i="8"/>
  <c r="C868" i="8"/>
  <c r="D868" i="8"/>
  <c r="E868" i="8"/>
  <c r="C869" i="8"/>
  <c r="D869" i="8"/>
  <c r="E869" i="8"/>
  <c r="C870" i="8"/>
  <c r="D870" i="8"/>
  <c r="E870" i="8"/>
  <c r="C871" i="8"/>
  <c r="D871" i="8"/>
  <c r="E871" i="8"/>
  <c r="C872" i="8"/>
  <c r="D872" i="8"/>
  <c r="E872" i="8"/>
  <c r="C873" i="8"/>
  <c r="D873" i="8"/>
  <c r="E873" i="8"/>
  <c r="C874" i="8"/>
  <c r="D874" i="8"/>
  <c r="E874" i="8"/>
  <c r="C875" i="8"/>
  <c r="D875" i="8"/>
  <c r="E875" i="8"/>
  <c r="C876" i="8"/>
  <c r="D876" i="8"/>
  <c r="E876" i="8"/>
  <c r="C877" i="8"/>
  <c r="D877" i="8"/>
  <c r="E877" i="8"/>
  <c r="C878" i="8"/>
  <c r="D878" i="8"/>
  <c r="E878" i="8"/>
  <c r="C879" i="8"/>
  <c r="D879" i="8"/>
  <c r="E879" i="8"/>
  <c r="C880" i="8"/>
  <c r="D880" i="8"/>
  <c r="E880" i="8"/>
  <c r="C881" i="8"/>
  <c r="D881" i="8"/>
  <c r="E881" i="8"/>
  <c r="C882" i="8"/>
  <c r="D882" i="8"/>
  <c r="E882" i="8"/>
  <c r="C883" i="8"/>
  <c r="D883" i="8"/>
  <c r="E883" i="8"/>
  <c r="C884" i="8"/>
  <c r="D884" i="8"/>
  <c r="E884" i="8"/>
  <c r="C885" i="8"/>
  <c r="D885" i="8"/>
  <c r="E885" i="8"/>
  <c r="C886" i="8"/>
  <c r="D886" i="8"/>
  <c r="E886" i="8"/>
  <c r="C887" i="8"/>
  <c r="D887" i="8"/>
  <c r="E887" i="8"/>
  <c r="C888" i="8"/>
  <c r="D888" i="8"/>
  <c r="E888" i="8"/>
  <c r="C889" i="8"/>
  <c r="D889" i="8"/>
  <c r="E889" i="8"/>
  <c r="C890" i="8"/>
  <c r="D890" i="8"/>
  <c r="E890" i="8"/>
  <c r="C891" i="8"/>
  <c r="D891" i="8"/>
  <c r="E891" i="8"/>
  <c r="C892" i="8"/>
  <c r="D892" i="8"/>
  <c r="E892" i="8"/>
  <c r="C893" i="8"/>
  <c r="D893" i="8"/>
  <c r="E893" i="8"/>
  <c r="C894" i="8"/>
  <c r="D894" i="8"/>
  <c r="E894" i="8"/>
  <c r="C895" i="8"/>
  <c r="D895" i="8"/>
  <c r="E895" i="8"/>
  <c r="C896" i="8"/>
  <c r="D896" i="8"/>
  <c r="E896" i="8"/>
  <c r="C897" i="8"/>
  <c r="D897" i="8"/>
  <c r="E897" i="8"/>
  <c r="C898" i="8"/>
  <c r="D898" i="8"/>
  <c r="E898" i="8"/>
  <c r="C899" i="8"/>
  <c r="D899" i="8"/>
  <c r="E899" i="8"/>
  <c r="C900" i="8"/>
  <c r="D900" i="8"/>
  <c r="E900" i="8"/>
  <c r="C901" i="8"/>
  <c r="D901" i="8"/>
  <c r="E901" i="8"/>
  <c r="C902" i="8"/>
  <c r="D902" i="8"/>
  <c r="E902" i="8"/>
  <c r="C903" i="8"/>
  <c r="D903" i="8"/>
  <c r="E903" i="8"/>
  <c r="C904" i="8"/>
  <c r="D904" i="8"/>
  <c r="E904" i="8"/>
  <c r="C905" i="8"/>
  <c r="D905" i="8"/>
  <c r="E905" i="8"/>
  <c r="C906" i="8"/>
  <c r="D906" i="8"/>
  <c r="E906" i="8"/>
  <c r="C907" i="8"/>
  <c r="D907" i="8"/>
  <c r="E907" i="8"/>
  <c r="C908" i="8"/>
  <c r="D908" i="8"/>
  <c r="E908" i="8"/>
  <c r="C909" i="8"/>
  <c r="D909" i="8"/>
  <c r="E909" i="8"/>
  <c r="C910" i="8"/>
  <c r="D910" i="8"/>
  <c r="E910" i="8"/>
  <c r="C911" i="8"/>
  <c r="D911" i="8"/>
  <c r="E911" i="8"/>
  <c r="C912" i="8"/>
  <c r="D912" i="8"/>
  <c r="E912" i="8"/>
  <c r="C913" i="8"/>
  <c r="D913" i="8"/>
  <c r="E913" i="8"/>
  <c r="C914" i="8"/>
  <c r="D914" i="8"/>
  <c r="E914" i="8"/>
  <c r="C915" i="8"/>
  <c r="D915" i="8"/>
  <c r="E915" i="8"/>
  <c r="C916" i="8"/>
  <c r="D916" i="8"/>
  <c r="E916" i="8"/>
  <c r="C917" i="8"/>
  <c r="D917" i="8"/>
  <c r="E917" i="8"/>
  <c r="C918" i="8"/>
  <c r="D918" i="8"/>
  <c r="E918" i="8"/>
  <c r="C919" i="8"/>
  <c r="D919" i="8"/>
  <c r="E919" i="8"/>
  <c r="C920" i="8"/>
  <c r="D920" i="8"/>
  <c r="E920" i="8"/>
  <c r="C921" i="8"/>
  <c r="D921" i="8"/>
  <c r="E921" i="8"/>
  <c r="C922" i="8"/>
  <c r="D922" i="8"/>
  <c r="E922" i="8"/>
  <c r="C923" i="8"/>
  <c r="D923" i="8"/>
  <c r="E923" i="8"/>
  <c r="C924" i="8"/>
  <c r="D924" i="8"/>
  <c r="E924" i="8"/>
  <c r="C925" i="8"/>
  <c r="D925" i="8"/>
  <c r="E925" i="8"/>
  <c r="C926" i="8"/>
  <c r="D926" i="8"/>
  <c r="E926" i="8"/>
  <c r="C927" i="8"/>
  <c r="D927" i="8"/>
  <c r="E927" i="8"/>
  <c r="C928" i="8"/>
  <c r="D928" i="8"/>
  <c r="E928" i="8"/>
  <c r="C929" i="8"/>
  <c r="D929" i="8"/>
  <c r="E929" i="8"/>
  <c r="C930" i="8"/>
  <c r="D930" i="8"/>
  <c r="E930" i="8"/>
  <c r="C931" i="8"/>
  <c r="D931" i="8"/>
  <c r="E931" i="8"/>
  <c r="C932" i="8"/>
  <c r="D932" i="8"/>
  <c r="E932" i="8"/>
  <c r="C933" i="8"/>
  <c r="D933" i="8"/>
  <c r="E933" i="8"/>
  <c r="C934" i="8"/>
  <c r="D934" i="8"/>
  <c r="E934" i="8"/>
  <c r="C935" i="8"/>
  <c r="D935" i="8"/>
  <c r="E935" i="8"/>
  <c r="C936" i="8"/>
  <c r="D936" i="8"/>
  <c r="E936" i="8"/>
  <c r="C937" i="8"/>
  <c r="D937" i="8"/>
  <c r="E937" i="8"/>
  <c r="C938" i="8"/>
  <c r="D938" i="8"/>
  <c r="E938" i="8"/>
  <c r="C939" i="8"/>
  <c r="D939" i="8"/>
  <c r="E939" i="8"/>
  <c r="C940" i="8"/>
  <c r="D940" i="8"/>
  <c r="E940" i="8"/>
  <c r="C941" i="8"/>
  <c r="D941" i="8"/>
  <c r="E941" i="8"/>
  <c r="C942" i="8"/>
  <c r="D942" i="8"/>
  <c r="E942" i="8"/>
  <c r="C943" i="8"/>
  <c r="D943" i="8"/>
  <c r="E943" i="8"/>
  <c r="C944" i="8"/>
  <c r="D944" i="8"/>
  <c r="E944" i="8"/>
  <c r="C945" i="8"/>
  <c r="D945" i="8"/>
  <c r="E945" i="8"/>
  <c r="C946" i="8"/>
  <c r="D946" i="8"/>
  <c r="E946" i="8"/>
  <c r="C947" i="8"/>
  <c r="D947" i="8"/>
  <c r="E947" i="8"/>
  <c r="C948" i="8"/>
  <c r="D948" i="8"/>
  <c r="E948" i="8"/>
  <c r="C949" i="8"/>
  <c r="D949" i="8"/>
  <c r="E949" i="8"/>
  <c r="C950" i="8"/>
  <c r="D950" i="8"/>
  <c r="E950" i="8"/>
  <c r="C951" i="8"/>
  <c r="D951" i="8"/>
  <c r="E951" i="8"/>
  <c r="C952" i="8"/>
  <c r="D952" i="8"/>
  <c r="E952" i="8"/>
  <c r="C953" i="8"/>
  <c r="D953" i="8"/>
  <c r="E953" i="8"/>
  <c r="C954" i="8"/>
  <c r="D954" i="8"/>
  <c r="E954" i="8"/>
  <c r="C955" i="8"/>
  <c r="D955" i="8"/>
  <c r="E955" i="8"/>
  <c r="C956" i="8"/>
  <c r="D956" i="8"/>
  <c r="E956" i="8"/>
  <c r="C957" i="8"/>
  <c r="D957" i="8"/>
  <c r="E957" i="8"/>
  <c r="C958" i="8"/>
  <c r="D958" i="8"/>
  <c r="E958" i="8"/>
  <c r="C959" i="8"/>
  <c r="D959" i="8"/>
  <c r="E959" i="8"/>
  <c r="C960" i="8"/>
  <c r="D960" i="8"/>
  <c r="E960" i="8"/>
  <c r="C961" i="8"/>
  <c r="D961" i="8"/>
  <c r="E961" i="8"/>
  <c r="C962" i="8"/>
  <c r="D962" i="8"/>
  <c r="E962" i="8"/>
  <c r="C963" i="8"/>
  <c r="D963" i="8"/>
  <c r="E963" i="8"/>
  <c r="C964" i="8"/>
  <c r="D964" i="8"/>
  <c r="E964" i="8"/>
  <c r="C965" i="8"/>
  <c r="D965" i="8"/>
  <c r="E965" i="8"/>
  <c r="C966" i="8"/>
  <c r="D966" i="8"/>
  <c r="E966" i="8"/>
  <c r="C967" i="8"/>
  <c r="D967" i="8"/>
  <c r="E967" i="8"/>
  <c r="C968" i="8"/>
  <c r="D968" i="8"/>
  <c r="E968" i="8"/>
  <c r="C969" i="8"/>
  <c r="D969" i="8"/>
  <c r="E969" i="8"/>
  <c r="C970" i="8"/>
  <c r="D970" i="8"/>
  <c r="E970" i="8"/>
  <c r="C971" i="8"/>
  <c r="D971" i="8"/>
  <c r="E971" i="8"/>
  <c r="C972" i="8"/>
  <c r="D972" i="8"/>
  <c r="E972" i="8"/>
  <c r="C973" i="8"/>
  <c r="D973" i="8"/>
  <c r="E973" i="8"/>
  <c r="C974" i="8"/>
  <c r="D974" i="8"/>
  <c r="E974" i="8"/>
  <c r="C975" i="8"/>
  <c r="D975" i="8"/>
  <c r="E975" i="8"/>
  <c r="C976" i="8"/>
  <c r="D976" i="8"/>
  <c r="E976" i="8"/>
  <c r="C977" i="8"/>
  <c r="D977" i="8"/>
  <c r="E977" i="8"/>
  <c r="C978" i="8"/>
  <c r="D978" i="8"/>
  <c r="E978" i="8"/>
  <c r="C979" i="8"/>
  <c r="D979" i="8"/>
  <c r="E979" i="8"/>
  <c r="C980" i="8"/>
  <c r="D980" i="8"/>
  <c r="E980" i="8"/>
  <c r="C981" i="8"/>
  <c r="D981" i="8"/>
  <c r="E981" i="8"/>
  <c r="C982" i="8"/>
  <c r="D982" i="8"/>
  <c r="E982" i="8"/>
  <c r="C983" i="8"/>
  <c r="D983" i="8"/>
  <c r="E983" i="8"/>
  <c r="C984" i="8"/>
  <c r="D984" i="8"/>
  <c r="E984" i="8"/>
  <c r="C985" i="8"/>
  <c r="D985" i="8"/>
  <c r="E985" i="8"/>
  <c r="C986" i="8"/>
  <c r="D986" i="8"/>
  <c r="E986" i="8"/>
  <c r="C987" i="8"/>
  <c r="D987" i="8"/>
  <c r="E987" i="8"/>
  <c r="C988" i="8"/>
  <c r="D988" i="8"/>
  <c r="E988" i="8"/>
  <c r="C989" i="8"/>
  <c r="D989" i="8"/>
  <c r="E989" i="8"/>
  <c r="C990" i="8"/>
  <c r="D990" i="8"/>
  <c r="E990" i="8"/>
  <c r="C991" i="8"/>
  <c r="D991" i="8"/>
  <c r="E991" i="8"/>
  <c r="C992" i="8"/>
  <c r="D992" i="8"/>
  <c r="E992" i="8"/>
  <c r="C993" i="8"/>
  <c r="D993" i="8"/>
  <c r="E993" i="8"/>
  <c r="C994" i="8"/>
  <c r="D994" i="8"/>
  <c r="E994" i="8"/>
  <c r="C995" i="8"/>
  <c r="D995" i="8"/>
  <c r="E995" i="8"/>
  <c r="C996" i="8"/>
  <c r="D996" i="8"/>
  <c r="E996" i="8"/>
  <c r="C997" i="8"/>
  <c r="D997" i="8"/>
  <c r="E997" i="8"/>
  <c r="C998" i="8"/>
  <c r="D998" i="8"/>
  <c r="E998" i="8"/>
  <c r="C999" i="8"/>
  <c r="D999" i="8"/>
  <c r="E999" i="8"/>
  <c r="C1000" i="8"/>
  <c r="D1000" i="8"/>
  <c r="E1000" i="8"/>
  <c r="C1001" i="8"/>
  <c r="D1001" i="8"/>
  <c r="E1001" i="8"/>
  <c r="C103" i="8"/>
  <c r="D103" i="8"/>
  <c r="E103" i="8"/>
  <c r="C104" i="8"/>
  <c r="D104" i="8"/>
  <c r="E104" i="8"/>
  <c r="C105" i="8"/>
  <c r="D105" i="8"/>
  <c r="E105" i="8"/>
  <c r="C106" i="8"/>
  <c r="D106" i="8"/>
  <c r="E106" i="8"/>
  <c r="C107" i="8"/>
  <c r="D107" i="8"/>
  <c r="E107" i="8"/>
  <c r="C108" i="8"/>
  <c r="D108" i="8"/>
  <c r="E108" i="8"/>
  <c r="C109" i="8"/>
  <c r="D109" i="8"/>
  <c r="E109" i="8"/>
  <c r="C110" i="8"/>
  <c r="D110" i="8"/>
  <c r="E110" i="8"/>
  <c r="C111" i="8"/>
  <c r="D111" i="8"/>
  <c r="E111" i="8"/>
  <c r="C112" i="8"/>
  <c r="D112" i="8"/>
  <c r="E112" i="8"/>
  <c r="C113" i="8"/>
  <c r="D113" i="8"/>
  <c r="E113" i="8"/>
  <c r="C114" i="8"/>
  <c r="D114" i="8"/>
  <c r="E114" i="8"/>
  <c r="C115" i="8"/>
  <c r="D115" i="8"/>
  <c r="E115" i="8"/>
  <c r="C116" i="8"/>
  <c r="D116" i="8"/>
  <c r="E116" i="8"/>
  <c r="C117" i="8"/>
  <c r="D117" i="8"/>
  <c r="E117" i="8"/>
  <c r="C118" i="8"/>
  <c r="D118" i="8"/>
  <c r="E118" i="8"/>
  <c r="C119" i="8"/>
  <c r="D119" i="8"/>
  <c r="E119" i="8"/>
  <c r="C120" i="8"/>
  <c r="D120" i="8"/>
  <c r="E120" i="8"/>
  <c r="C121" i="8"/>
  <c r="D121" i="8"/>
  <c r="E121" i="8"/>
  <c r="C122" i="8"/>
  <c r="D122" i="8"/>
  <c r="E122" i="8"/>
  <c r="C123" i="8"/>
  <c r="D123" i="8"/>
  <c r="E123" i="8"/>
  <c r="C124" i="8"/>
  <c r="D124" i="8"/>
  <c r="E124" i="8"/>
  <c r="C125" i="8"/>
  <c r="D125" i="8"/>
  <c r="E125" i="8"/>
  <c r="C126" i="8"/>
  <c r="D126" i="8"/>
  <c r="E126" i="8"/>
  <c r="C127" i="8"/>
  <c r="D127" i="8"/>
  <c r="E127" i="8"/>
  <c r="C128" i="8"/>
  <c r="D128" i="8"/>
  <c r="E128" i="8"/>
  <c r="C129" i="8"/>
  <c r="D129" i="8"/>
  <c r="E129" i="8"/>
  <c r="C130" i="8"/>
  <c r="D130" i="8"/>
  <c r="E130" i="8"/>
  <c r="C131" i="8"/>
  <c r="D131" i="8"/>
  <c r="E131" i="8"/>
  <c r="C132" i="8"/>
  <c r="D132" i="8"/>
  <c r="E132" i="8"/>
  <c r="C133" i="8"/>
  <c r="D133" i="8"/>
  <c r="E133" i="8"/>
  <c r="C134" i="8"/>
  <c r="D134" i="8"/>
  <c r="E134" i="8"/>
  <c r="C135" i="8"/>
  <c r="D135" i="8"/>
  <c r="E135" i="8"/>
  <c r="C136" i="8"/>
  <c r="D136" i="8"/>
  <c r="E136" i="8"/>
  <c r="C137" i="8"/>
  <c r="D137" i="8"/>
  <c r="E137" i="8"/>
  <c r="C138" i="8"/>
  <c r="D138" i="8"/>
  <c r="E138" i="8"/>
  <c r="C139" i="8"/>
  <c r="D139" i="8"/>
  <c r="E139" i="8"/>
  <c r="C140" i="8"/>
  <c r="D140" i="8"/>
  <c r="E140" i="8"/>
  <c r="C141" i="8"/>
  <c r="D141" i="8"/>
  <c r="E141" i="8"/>
  <c r="C142" i="8"/>
  <c r="D142" i="8"/>
  <c r="E142" i="8"/>
  <c r="C143" i="8"/>
  <c r="D143" i="8"/>
  <c r="E143" i="8"/>
  <c r="C144" i="8"/>
  <c r="D144" i="8"/>
  <c r="E144" i="8"/>
  <c r="C145" i="8"/>
  <c r="D145" i="8"/>
  <c r="E145" i="8"/>
  <c r="C146" i="8"/>
  <c r="D146" i="8"/>
  <c r="E146" i="8"/>
  <c r="C147" i="8"/>
  <c r="D147" i="8"/>
  <c r="E147" i="8"/>
  <c r="C148" i="8"/>
  <c r="D148" i="8"/>
  <c r="E148" i="8"/>
  <c r="C149" i="8"/>
  <c r="D149" i="8"/>
  <c r="E149" i="8"/>
  <c r="C150" i="8"/>
  <c r="D150" i="8"/>
  <c r="E150" i="8"/>
  <c r="C151" i="8"/>
  <c r="D151" i="8"/>
  <c r="E151" i="8"/>
  <c r="C152" i="8"/>
  <c r="D152" i="8"/>
  <c r="E152" i="8"/>
  <c r="C153" i="8"/>
  <c r="D153" i="8"/>
  <c r="E153" i="8"/>
  <c r="C154" i="8"/>
  <c r="D154" i="8"/>
  <c r="E154" i="8"/>
  <c r="C155" i="8"/>
  <c r="D155" i="8"/>
  <c r="E155" i="8"/>
  <c r="C156" i="8"/>
  <c r="D156" i="8"/>
  <c r="E156" i="8"/>
  <c r="C157" i="8"/>
  <c r="D157" i="8"/>
  <c r="E157" i="8"/>
  <c r="C158" i="8"/>
  <c r="D158" i="8"/>
  <c r="E158" i="8"/>
  <c r="C159" i="8"/>
  <c r="D159" i="8"/>
  <c r="E159" i="8"/>
  <c r="C160" i="8"/>
  <c r="D160" i="8"/>
  <c r="E160" i="8"/>
  <c r="C161" i="8"/>
  <c r="D161" i="8"/>
  <c r="E161" i="8"/>
  <c r="C162" i="8"/>
  <c r="D162" i="8"/>
  <c r="E162" i="8"/>
  <c r="C163" i="8"/>
  <c r="D163" i="8"/>
  <c r="E163" i="8"/>
  <c r="C164" i="8"/>
  <c r="D164" i="8"/>
  <c r="E164" i="8"/>
  <c r="C165" i="8"/>
  <c r="D165" i="8"/>
  <c r="E165" i="8"/>
  <c r="C166" i="8"/>
  <c r="D166" i="8"/>
  <c r="E166" i="8"/>
  <c r="C167" i="8"/>
  <c r="D167" i="8"/>
  <c r="E167" i="8"/>
  <c r="C168" i="8"/>
  <c r="D168" i="8"/>
  <c r="E168" i="8"/>
  <c r="C169" i="8"/>
  <c r="D169" i="8"/>
  <c r="E169" i="8"/>
  <c r="C170" i="8"/>
  <c r="D170" i="8"/>
  <c r="E170" i="8"/>
  <c r="C171" i="8"/>
  <c r="D171" i="8"/>
  <c r="E171" i="8"/>
  <c r="C172" i="8"/>
  <c r="D172" i="8"/>
  <c r="E172" i="8"/>
  <c r="C173" i="8"/>
  <c r="D173" i="8"/>
  <c r="E173" i="8"/>
  <c r="C174" i="8"/>
  <c r="D174" i="8"/>
  <c r="E174" i="8"/>
  <c r="C175" i="8"/>
  <c r="D175" i="8"/>
  <c r="E175" i="8"/>
  <c r="C176" i="8"/>
  <c r="D176" i="8"/>
  <c r="E176" i="8"/>
  <c r="C177" i="8"/>
  <c r="D177" i="8"/>
  <c r="E177" i="8"/>
  <c r="C178" i="8"/>
  <c r="D178" i="8"/>
  <c r="E178" i="8"/>
  <c r="E4" i="8" l="1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3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" i="8"/>
  <c r="C5" i="8"/>
  <c r="C6" i="8"/>
  <c r="C7" i="8"/>
  <c r="C8" i="8"/>
  <c r="C9" i="8"/>
  <c r="C10" i="8"/>
  <c r="C11" i="8"/>
  <c r="C12" i="8"/>
  <c r="C13" i="8"/>
  <c r="C14" i="8"/>
  <c r="C3" i="8"/>
  <c r="B4" i="6"/>
  <c r="B6" i="6" s="1"/>
  <c r="C8" i="6"/>
  <c r="C5" i="6"/>
  <c r="D5" i="6" s="1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P5" i="6" s="1"/>
  <c r="Q5" i="6" s="1"/>
  <c r="R5" i="6" s="1"/>
  <c r="S5" i="6" s="1"/>
  <c r="T5" i="6" s="1"/>
  <c r="U5" i="6" s="1"/>
  <c r="V5" i="6" s="1"/>
  <c r="W5" i="6" s="1"/>
  <c r="X5" i="6" s="1"/>
  <c r="Y5" i="6" s="1"/>
  <c r="Z5" i="6" s="1"/>
  <c r="AA5" i="6" s="1"/>
  <c r="AB5" i="6" s="1"/>
  <c r="AC5" i="6" s="1"/>
  <c r="AD5" i="6" s="1"/>
  <c r="AE5" i="6" s="1"/>
  <c r="AF5" i="6" s="1"/>
  <c r="AG5" i="6" s="1"/>
  <c r="AH5" i="6" s="1"/>
  <c r="AI5" i="6" s="1"/>
  <c r="AJ5" i="6" s="1"/>
  <c r="AK5" i="6" s="1"/>
  <c r="AL5" i="6" s="1"/>
  <c r="AM5" i="6" s="1"/>
  <c r="AN5" i="6" s="1"/>
  <c r="AO5" i="6" s="1"/>
  <c r="AP5" i="6" s="1"/>
  <c r="G3" i="8" l="1"/>
  <c r="G15" i="8"/>
  <c r="G27" i="8"/>
  <c r="G39" i="8"/>
  <c r="G51" i="8"/>
  <c r="G63" i="8"/>
  <c r="G75" i="8"/>
  <c r="G87" i="8"/>
  <c r="G99" i="8"/>
  <c r="G111" i="8"/>
  <c r="G123" i="8"/>
  <c r="G135" i="8"/>
  <c r="G147" i="8"/>
  <c r="G159" i="8"/>
  <c r="G171" i="8"/>
  <c r="G183" i="8"/>
  <c r="G195" i="8"/>
  <c r="G207" i="8"/>
  <c r="G219" i="8"/>
  <c r="G231" i="8"/>
  <c r="G243" i="8"/>
  <c r="G255" i="8"/>
  <c r="G267" i="8"/>
  <c r="G279" i="8"/>
  <c r="G291" i="8"/>
  <c r="G303" i="8"/>
  <c r="G315" i="8"/>
  <c r="G327" i="8"/>
  <c r="G339" i="8"/>
  <c r="G351" i="8"/>
  <c r="G363" i="8"/>
  <c r="G375" i="8"/>
  <c r="G387" i="8"/>
  <c r="G399" i="8"/>
  <c r="G411" i="8"/>
  <c r="G423" i="8"/>
  <c r="G435" i="8"/>
  <c r="G447" i="8"/>
  <c r="G459" i="8"/>
  <c r="G471" i="8"/>
  <c r="G483" i="8"/>
  <c r="G495" i="8"/>
  <c r="G507" i="8"/>
  <c r="G519" i="8"/>
  <c r="G531" i="8"/>
  <c r="G543" i="8"/>
  <c r="G555" i="8"/>
  <c r="G567" i="8"/>
  <c r="G579" i="8"/>
  <c r="G591" i="8"/>
  <c r="G603" i="8"/>
  <c r="G615" i="8"/>
  <c r="G627" i="8"/>
  <c r="G639" i="8"/>
  <c r="G651" i="8"/>
  <c r="G663" i="8"/>
  <c r="G675" i="8"/>
  <c r="G687" i="8"/>
  <c r="G699" i="8"/>
  <c r="G711" i="8"/>
  <c r="G723" i="8"/>
  <c r="G735" i="8"/>
  <c r="G747" i="8"/>
  <c r="G759" i="8"/>
  <c r="G771" i="8"/>
  <c r="G783" i="8"/>
  <c r="G795" i="8"/>
  <c r="G807" i="8"/>
  <c r="G819" i="8"/>
  <c r="G831" i="8"/>
  <c r="G843" i="8"/>
  <c r="G855" i="8"/>
  <c r="G867" i="8"/>
  <c r="G879" i="8"/>
  <c r="G891" i="8"/>
  <c r="G903" i="8"/>
  <c r="G915" i="8"/>
  <c r="G927" i="8"/>
  <c r="G939" i="8"/>
  <c r="G951" i="8"/>
  <c r="G963" i="8"/>
  <c r="G975" i="8"/>
  <c r="G987" i="8"/>
  <c r="G999" i="8"/>
  <c r="G4" i="8"/>
  <c r="G16" i="8"/>
  <c r="G28" i="8"/>
  <c r="G40" i="8"/>
  <c r="G52" i="8"/>
  <c r="G64" i="8"/>
  <c r="G76" i="8"/>
  <c r="G88" i="8"/>
  <c r="G100" i="8"/>
  <c r="G112" i="8"/>
  <c r="G124" i="8"/>
  <c r="G136" i="8"/>
  <c r="G148" i="8"/>
  <c r="G160" i="8"/>
  <c r="G172" i="8"/>
  <c r="G184" i="8"/>
  <c r="G196" i="8"/>
  <c r="G208" i="8"/>
  <c r="G220" i="8"/>
  <c r="G232" i="8"/>
  <c r="G244" i="8"/>
  <c r="G256" i="8"/>
  <c r="G268" i="8"/>
  <c r="G280" i="8"/>
  <c r="G292" i="8"/>
  <c r="G304" i="8"/>
  <c r="G316" i="8"/>
  <c r="G328" i="8"/>
  <c r="G340" i="8"/>
  <c r="G352" i="8"/>
  <c r="G364" i="8"/>
  <c r="G376" i="8"/>
  <c r="G388" i="8"/>
  <c r="G400" i="8"/>
  <c r="G412" i="8"/>
  <c r="G424" i="8"/>
  <c r="G436" i="8"/>
  <c r="G448" i="8"/>
  <c r="G460" i="8"/>
  <c r="G472" i="8"/>
  <c r="G484" i="8"/>
  <c r="G496" i="8"/>
  <c r="G508" i="8"/>
  <c r="G520" i="8"/>
  <c r="G532" i="8"/>
  <c r="G544" i="8"/>
  <c r="G556" i="8"/>
  <c r="G568" i="8"/>
  <c r="G580" i="8"/>
  <c r="G592" i="8"/>
  <c r="G604" i="8"/>
  <c r="G616" i="8"/>
  <c r="G628" i="8"/>
  <c r="G640" i="8"/>
  <c r="G652" i="8"/>
  <c r="G664" i="8"/>
  <c r="G676" i="8"/>
  <c r="G688" i="8"/>
  <c r="G700" i="8"/>
  <c r="G712" i="8"/>
  <c r="G724" i="8"/>
  <c r="G736" i="8"/>
  <c r="G748" i="8"/>
  <c r="G760" i="8"/>
  <c r="G772" i="8"/>
  <c r="G784" i="8"/>
  <c r="G796" i="8"/>
  <c r="G808" i="8"/>
  <c r="G820" i="8"/>
  <c r="G832" i="8"/>
  <c r="G844" i="8"/>
  <c r="G856" i="8"/>
  <c r="G868" i="8"/>
  <c r="G880" i="8"/>
  <c r="G892" i="8"/>
  <c r="G904" i="8"/>
  <c r="G916" i="8"/>
  <c r="G928" i="8"/>
  <c r="G940" i="8"/>
  <c r="G952" i="8"/>
  <c r="G964" i="8"/>
  <c r="G976" i="8"/>
  <c r="G988" i="8"/>
  <c r="G1000" i="8"/>
  <c r="G5" i="8"/>
  <c r="G17" i="8"/>
  <c r="G29" i="8"/>
  <c r="G41" i="8"/>
  <c r="G53" i="8"/>
  <c r="G65" i="8"/>
  <c r="G77" i="8"/>
  <c r="G89" i="8"/>
  <c r="G101" i="8"/>
  <c r="G113" i="8"/>
  <c r="G125" i="8"/>
  <c r="G137" i="8"/>
  <c r="G149" i="8"/>
  <c r="G161" i="8"/>
  <c r="G173" i="8"/>
  <c r="G185" i="8"/>
  <c r="G197" i="8"/>
  <c r="G209" i="8"/>
  <c r="G221" i="8"/>
  <c r="G233" i="8"/>
  <c r="G245" i="8"/>
  <c r="G257" i="8"/>
  <c r="G269" i="8"/>
  <c r="G281" i="8"/>
  <c r="G293" i="8"/>
  <c r="G305" i="8"/>
  <c r="G317" i="8"/>
  <c r="G329" i="8"/>
  <c r="G341" i="8"/>
  <c r="G353" i="8"/>
  <c r="G365" i="8"/>
  <c r="G377" i="8"/>
  <c r="G389" i="8"/>
  <c r="G401" i="8"/>
  <c r="G413" i="8"/>
  <c r="G425" i="8"/>
  <c r="G437" i="8"/>
  <c r="G449" i="8"/>
  <c r="G461" i="8"/>
  <c r="G473" i="8"/>
  <c r="G485" i="8"/>
  <c r="G497" i="8"/>
  <c r="G509" i="8"/>
  <c r="G521" i="8"/>
  <c r="G533" i="8"/>
  <c r="G545" i="8"/>
  <c r="G557" i="8"/>
  <c r="G569" i="8"/>
  <c r="G581" i="8"/>
  <c r="G593" i="8"/>
  <c r="G605" i="8"/>
  <c r="G617" i="8"/>
  <c r="G629" i="8"/>
  <c r="G641" i="8"/>
  <c r="G653" i="8"/>
  <c r="G665" i="8"/>
  <c r="G677" i="8"/>
  <c r="G689" i="8"/>
  <c r="G701" i="8"/>
  <c r="G713" i="8"/>
  <c r="G725" i="8"/>
  <c r="G737" i="8"/>
  <c r="G749" i="8"/>
  <c r="G761" i="8"/>
  <c r="G773" i="8"/>
  <c r="G785" i="8"/>
  <c r="G797" i="8"/>
  <c r="G809" i="8"/>
  <c r="G821" i="8"/>
  <c r="G833" i="8"/>
  <c r="G845" i="8"/>
  <c r="G857" i="8"/>
  <c r="G869" i="8"/>
  <c r="G881" i="8"/>
  <c r="G893" i="8"/>
  <c r="G905" i="8"/>
  <c r="G917" i="8"/>
  <c r="G929" i="8"/>
  <c r="G941" i="8"/>
  <c r="G953" i="8"/>
  <c r="G965" i="8"/>
  <c r="G977" i="8"/>
  <c r="G989" i="8"/>
  <c r="G1001" i="8"/>
  <c r="G6" i="8"/>
  <c r="G18" i="8"/>
  <c r="G30" i="8"/>
  <c r="G42" i="8"/>
  <c r="G54" i="8"/>
  <c r="G66" i="8"/>
  <c r="G78" i="8"/>
  <c r="G90" i="8"/>
  <c r="G102" i="8"/>
  <c r="G114" i="8"/>
  <c r="G126" i="8"/>
  <c r="G138" i="8"/>
  <c r="G150" i="8"/>
  <c r="G162" i="8"/>
  <c r="G174" i="8"/>
  <c r="G186" i="8"/>
  <c r="G198" i="8"/>
  <c r="G210" i="8"/>
  <c r="G222" i="8"/>
  <c r="G234" i="8"/>
  <c r="G246" i="8"/>
  <c r="G258" i="8"/>
  <c r="G270" i="8"/>
  <c r="G282" i="8"/>
  <c r="G294" i="8"/>
  <c r="G306" i="8"/>
  <c r="G318" i="8"/>
  <c r="G330" i="8"/>
  <c r="G342" i="8"/>
  <c r="G354" i="8"/>
  <c r="G366" i="8"/>
  <c r="G378" i="8"/>
  <c r="G390" i="8"/>
  <c r="G402" i="8"/>
  <c r="G414" i="8"/>
  <c r="G426" i="8"/>
  <c r="G438" i="8"/>
  <c r="G450" i="8"/>
  <c r="G462" i="8"/>
  <c r="G474" i="8"/>
  <c r="G486" i="8"/>
  <c r="G498" i="8"/>
  <c r="G510" i="8"/>
  <c r="G522" i="8"/>
  <c r="G534" i="8"/>
  <c r="G546" i="8"/>
  <c r="G558" i="8"/>
  <c r="G570" i="8"/>
  <c r="G582" i="8"/>
  <c r="G594" i="8"/>
  <c r="G606" i="8"/>
  <c r="G618" i="8"/>
  <c r="G630" i="8"/>
  <c r="G642" i="8"/>
  <c r="G654" i="8"/>
  <c r="G666" i="8"/>
  <c r="G678" i="8"/>
  <c r="G690" i="8"/>
  <c r="G702" i="8"/>
  <c r="G714" i="8"/>
  <c r="G726" i="8"/>
  <c r="G738" i="8"/>
  <c r="G750" i="8"/>
  <c r="G762" i="8"/>
  <c r="G774" i="8"/>
  <c r="G786" i="8"/>
  <c r="G798" i="8"/>
  <c r="G810" i="8"/>
  <c r="G822" i="8"/>
  <c r="G834" i="8"/>
  <c r="G846" i="8"/>
  <c r="G858" i="8"/>
  <c r="G870" i="8"/>
  <c r="G882" i="8"/>
  <c r="G894" i="8"/>
  <c r="G906" i="8"/>
  <c r="G918" i="8"/>
  <c r="G930" i="8"/>
  <c r="G942" i="8"/>
  <c r="G954" i="8"/>
  <c r="G966" i="8"/>
  <c r="G978" i="8"/>
  <c r="G990" i="8"/>
  <c r="G1002" i="8"/>
  <c r="G7" i="8"/>
  <c r="G19" i="8"/>
  <c r="G31" i="8"/>
  <c r="G43" i="8"/>
  <c r="G55" i="8"/>
  <c r="G67" i="8"/>
  <c r="G79" i="8"/>
  <c r="G91" i="8"/>
  <c r="G103" i="8"/>
  <c r="G115" i="8"/>
  <c r="G127" i="8"/>
  <c r="G139" i="8"/>
  <c r="G151" i="8"/>
  <c r="G163" i="8"/>
  <c r="G175" i="8"/>
  <c r="G187" i="8"/>
  <c r="G199" i="8"/>
  <c r="G211" i="8"/>
  <c r="G223" i="8"/>
  <c r="G235" i="8"/>
  <c r="G247" i="8"/>
  <c r="G259" i="8"/>
  <c r="G271" i="8"/>
  <c r="G283" i="8"/>
  <c r="G295" i="8"/>
  <c r="G307" i="8"/>
  <c r="G319" i="8"/>
  <c r="G331" i="8"/>
  <c r="G343" i="8"/>
  <c r="G355" i="8"/>
  <c r="G367" i="8"/>
  <c r="G379" i="8"/>
  <c r="G391" i="8"/>
  <c r="G403" i="8"/>
  <c r="G415" i="8"/>
  <c r="G427" i="8"/>
  <c r="G439" i="8"/>
  <c r="G451" i="8"/>
  <c r="G463" i="8"/>
  <c r="G475" i="8"/>
  <c r="G487" i="8"/>
  <c r="G499" i="8"/>
  <c r="G511" i="8"/>
  <c r="G523" i="8"/>
  <c r="G535" i="8"/>
  <c r="G547" i="8"/>
  <c r="G559" i="8"/>
  <c r="G571" i="8"/>
  <c r="G583" i="8"/>
  <c r="G595" i="8"/>
  <c r="G607" i="8"/>
  <c r="G619" i="8"/>
  <c r="G631" i="8"/>
  <c r="G643" i="8"/>
  <c r="G655" i="8"/>
  <c r="G667" i="8"/>
  <c r="G679" i="8"/>
  <c r="G691" i="8"/>
  <c r="G703" i="8"/>
  <c r="G715" i="8"/>
  <c r="G727" i="8"/>
  <c r="G739" i="8"/>
  <c r="G751" i="8"/>
  <c r="G763" i="8"/>
  <c r="G775" i="8"/>
  <c r="G787" i="8"/>
  <c r="G799" i="8"/>
  <c r="G811" i="8"/>
  <c r="G823" i="8"/>
  <c r="G835" i="8"/>
  <c r="G847" i="8"/>
  <c r="G859" i="8"/>
  <c r="G871" i="8"/>
  <c r="G883" i="8"/>
  <c r="G895" i="8"/>
  <c r="G907" i="8"/>
  <c r="G919" i="8"/>
  <c r="G931" i="8"/>
  <c r="G943" i="8"/>
  <c r="G955" i="8"/>
  <c r="G967" i="8"/>
  <c r="G979" i="8"/>
  <c r="G991" i="8"/>
  <c r="G8" i="8"/>
  <c r="G20" i="8"/>
  <c r="G32" i="8"/>
  <c r="G44" i="8"/>
  <c r="G56" i="8"/>
  <c r="G68" i="8"/>
  <c r="G80" i="8"/>
  <c r="G92" i="8"/>
  <c r="G104" i="8"/>
  <c r="G116" i="8"/>
  <c r="G128" i="8"/>
  <c r="G140" i="8"/>
  <c r="G152" i="8"/>
  <c r="G164" i="8"/>
  <c r="G176" i="8"/>
  <c r="G188" i="8"/>
  <c r="G200" i="8"/>
  <c r="G212" i="8"/>
  <c r="G224" i="8"/>
  <c r="G236" i="8"/>
  <c r="G248" i="8"/>
  <c r="G260" i="8"/>
  <c r="G272" i="8"/>
  <c r="G284" i="8"/>
  <c r="G296" i="8"/>
  <c r="G308" i="8"/>
  <c r="G320" i="8"/>
  <c r="G332" i="8"/>
  <c r="G344" i="8"/>
  <c r="G356" i="8"/>
  <c r="G368" i="8"/>
  <c r="G380" i="8"/>
  <c r="G392" i="8"/>
  <c r="G404" i="8"/>
  <c r="G416" i="8"/>
  <c r="G428" i="8"/>
  <c r="G440" i="8"/>
  <c r="G452" i="8"/>
  <c r="G464" i="8"/>
  <c r="G476" i="8"/>
  <c r="G488" i="8"/>
  <c r="G500" i="8"/>
  <c r="G512" i="8"/>
  <c r="G524" i="8"/>
  <c r="G536" i="8"/>
  <c r="G548" i="8"/>
  <c r="G560" i="8"/>
  <c r="G572" i="8"/>
  <c r="G584" i="8"/>
  <c r="G596" i="8"/>
  <c r="G608" i="8"/>
  <c r="G620" i="8"/>
  <c r="G632" i="8"/>
  <c r="G644" i="8"/>
  <c r="G656" i="8"/>
  <c r="G668" i="8"/>
  <c r="G680" i="8"/>
  <c r="G692" i="8"/>
  <c r="G704" i="8"/>
  <c r="G716" i="8"/>
  <c r="G728" i="8"/>
  <c r="G740" i="8"/>
  <c r="G752" i="8"/>
  <c r="G764" i="8"/>
  <c r="G776" i="8"/>
  <c r="G788" i="8"/>
  <c r="G800" i="8"/>
  <c r="G812" i="8"/>
  <c r="G824" i="8"/>
  <c r="G836" i="8"/>
  <c r="G848" i="8"/>
  <c r="G860" i="8"/>
  <c r="G872" i="8"/>
  <c r="G884" i="8"/>
  <c r="G896" i="8"/>
  <c r="G908" i="8"/>
  <c r="G920" i="8"/>
  <c r="G932" i="8"/>
  <c r="G944" i="8"/>
  <c r="G956" i="8"/>
  <c r="G968" i="8"/>
  <c r="G980" i="8"/>
  <c r="G992" i="8"/>
  <c r="G9" i="8"/>
  <c r="G21" i="8"/>
  <c r="G33" i="8"/>
  <c r="G45" i="8"/>
  <c r="G57" i="8"/>
  <c r="G69" i="8"/>
  <c r="G81" i="8"/>
  <c r="G93" i="8"/>
  <c r="G105" i="8"/>
  <c r="G117" i="8"/>
  <c r="G129" i="8"/>
  <c r="G141" i="8"/>
  <c r="G153" i="8"/>
  <c r="G165" i="8"/>
  <c r="G177" i="8"/>
  <c r="G189" i="8"/>
  <c r="G201" i="8"/>
  <c r="G213" i="8"/>
  <c r="G225" i="8"/>
  <c r="G237" i="8"/>
  <c r="G249" i="8"/>
  <c r="G261" i="8"/>
  <c r="G273" i="8"/>
  <c r="G285" i="8"/>
  <c r="G297" i="8"/>
  <c r="G309" i="8"/>
  <c r="G321" i="8"/>
  <c r="G333" i="8"/>
  <c r="G345" i="8"/>
  <c r="G357" i="8"/>
  <c r="G369" i="8"/>
  <c r="G381" i="8"/>
  <c r="G393" i="8"/>
  <c r="G405" i="8"/>
  <c r="G417" i="8"/>
  <c r="G429" i="8"/>
  <c r="G441" i="8"/>
  <c r="G453" i="8"/>
  <c r="G465" i="8"/>
  <c r="G477" i="8"/>
  <c r="G489" i="8"/>
  <c r="G501" i="8"/>
  <c r="G513" i="8"/>
  <c r="G525" i="8"/>
  <c r="G537" i="8"/>
  <c r="G549" i="8"/>
  <c r="G561" i="8"/>
  <c r="G573" i="8"/>
  <c r="G585" i="8"/>
  <c r="G597" i="8"/>
  <c r="G609" i="8"/>
  <c r="G621" i="8"/>
  <c r="G633" i="8"/>
  <c r="G645" i="8"/>
  <c r="G657" i="8"/>
  <c r="G669" i="8"/>
  <c r="G681" i="8"/>
  <c r="G693" i="8"/>
  <c r="G705" i="8"/>
  <c r="G717" i="8"/>
  <c r="G729" i="8"/>
  <c r="G741" i="8"/>
  <c r="G753" i="8"/>
  <c r="G765" i="8"/>
  <c r="G777" i="8"/>
  <c r="G789" i="8"/>
  <c r="G801" i="8"/>
  <c r="G813" i="8"/>
  <c r="G825" i="8"/>
  <c r="G837" i="8"/>
  <c r="G849" i="8"/>
  <c r="G861" i="8"/>
  <c r="G873" i="8"/>
  <c r="G885" i="8"/>
  <c r="G897" i="8"/>
  <c r="G909" i="8"/>
  <c r="G921" i="8"/>
  <c r="G933" i="8"/>
  <c r="G945" i="8"/>
  <c r="G957" i="8"/>
  <c r="G969" i="8"/>
  <c r="G981" i="8"/>
  <c r="G993" i="8"/>
  <c r="G10" i="8"/>
  <c r="G22" i="8"/>
  <c r="G34" i="8"/>
  <c r="G46" i="8"/>
  <c r="G58" i="8"/>
  <c r="G70" i="8"/>
  <c r="G82" i="8"/>
  <c r="G94" i="8"/>
  <c r="G106" i="8"/>
  <c r="G118" i="8"/>
  <c r="G130" i="8"/>
  <c r="G142" i="8"/>
  <c r="G154" i="8"/>
  <c r="G166" i="8"/>
  <c r="G178" i="8"/>
  <c r="G190" i="8"/>
  <c r="G202" i="8"/>
  <c r="G214" i="8"/>
  <c r="G226" i="8"/>
  <c r="G238" i="8"/>
  <c r="G250" i="8"/>
  <c r="G262" i="8"/>
  <c r="G274" i="8"/>
  <c r="G286" i="8"/>
  <c r="G298" i="8"/>
  <c r="G310" i="8"/>
  <c r="G322" i="8"/>
  <c r="G334" i="8"/>
  <c r="G346" i="8"/>
  <c r="G358" i="8"/>
  <c r="G370" i="8"/>
  <c r="G382" i="8"/>
  <c r="G394" i="8"/>
  <c r="G406" i="8"/>
  <c r="G418" i="8"/>
  <c r="G430" i="8"/>
  <c r="G442" i="8"/>
  <c r="G454" i="8"/>
  <c r="G466" i="8"/>
  <c r="G478" i="8"/>
  <c r="G490" i="8"/>
  <c r="G502" i="8"/>
  <c r="G514" i="8"/>
  <c r="G526" i="8"/>
  <c r="G538" i="8"/>
  <c r="G550" i="8"/>
  <c r="G562" i="8"/>
  <c r="G574" i="8"/>
  <c r="G586" i="8"/>
  <c r="G598" i="8"/>
  <c r="G610" i="8"/>
  <c r="G622" i="8"/>
  <c r="G634" i="8"/>
  <c r="G646" i="8"/>
  <c r="G658" i="8"/>
  <c r="G670" i="8"/>
  <c r="G682" i="8"/>
  <c r="G694" i="8"/>
  <c r="G706" i="8"/>
  <c r="G718" i="8"/>
  <c r="G730" i="8"/>
  <c r="G742" i="8"/>
  <c r="G754" i="8"/>
  <c r="G766" i="8"/>
  <c r="G778" i="8"/>
  <c r="G790" i="8"/>
  <c r="G802" i="8"/>
  <c r="G814" i="8"/>
  <c r="G826" i="8"/>
  <c r="G838" i="8"/>
  <c r="G850" i="8"/>
  <c r="G862" i="8"/>
  <c r="G874" i="8"/>
  <c r="G886" i="8"/>
  <c r="G898" i="8"/>
  <c r="G910" i="8"/>
  <c r="G922" i="8"/>
  <c r="G934" i="8"/>
  <c r="G946" i="8"/>
  <c r="G958" i="8"/>
  <c r="G970" i="8"/>
  <c r="G982" i="8"/>
  <c r="G994" i="8"/>
  <c r="G11" i="8"/>
  <c r="G23" i="8"/>
  <c r="G35" i="8"/>
  <c r="G47" i="8"/>
  <c r="G59" i="8"/>
  <c r="G71" i="8"/>
  <c r="G83" i="8"/>
  <c r="G95" i="8"/>
  <c r="G107" i="8"/>
  <c r="G119" i="8"/>
  <c r="G131" i="8"/>
  <c r="G143" i="8"/>
  <c r="G155" i="8"/>
  <c r="G167" i="8"/>
  <c r="G179" i="8"/>
  <c r="G191" i="8"/>
  <c r="G203" i="8"/>
  <c r="G215" i="8"/>
  <c r="G227" i="8"/>
  <c r="G239" i="8"/>
  <c r="G251" i="8"/>
  <c r="G263" i="8"/>
  <c r="G275" i="8"/>
  <c r="G287" i="8"/>
  <c r="G299" i="8"/>
  <c r="G311" i="8"/>
  <c r="G323" i="8"/>
  <c r="G335" i="8"/>
  <c r="G347" i="8"/>
  <c r="G359" i="8"/>
  <c r="G371" i="8"/>
  <c r="G383" i="8"/>
  <c r="G395" i="8"/>
  <c r="G407" i="8"/>
  <c r="G419" i="8"/>
  <c r="G431" i="8"/>
  <c r="G443" i="8"/>
  <c r="G455" i="8"/>
  <c r="G467" i="8"/>
  <c r="G479" i="8"/>
  <c r="G491" i="8"/>
  <c r="G503" i="8"/>
  <c r="G515" i="8"/>
  <c r="G527" i="8"/>
  <c r="G539" i="8"/>
  <c r="G551" i="8"/>
  <c r="G563" i="8"/>
  <c r="G575" i="8"/>
  <c r="G587" i="8"/>
  <c r="G599" i="8"/>
  <c r="G611" i="8"/>
  <c r="G623" i="8"/>
  <c r="G635" i="8"/>
  <c r="G647" i="8"/>
  <c r="G659" i="8"/>
  <c r="G671" i="8"/>
  <c r="G683" i="8"/>
  <c r="G695" i="8"/>
  <c r="G707" i="8"/>
  <c r="G719" i="8"/>
  <c r="G731" i="8"/>
  <c r="G743" i="8"/>
  <c r="G755" i="8"/>
  <c r="G767" i="8"/>
  <c r="G779" i="8"/>
  <c r="G791" i="8"/>
  <c r="G803" i="8"/>
  <c r="G815" i="8"/>
  <c r="G827" i="8"/>
  <c r="G839" i="8"/>
  <c r="G851" i="8"/>
  <c r="G863" i="8"/>
  <c r="G875" i="8"/>
  <c r="G887" i="8"/>
  <c r="G899" i="8"/>
  <c r="G911" i="8"/>
  <c r="G923" i="8"/>
  <c r="G935" i="8"/>
  <c r="G947" i="8"/>
  <c r="G959" i="8"/>
  <c r="G971" i="8"/>
  <c r="G983" i="8"/>
  <c r="G995" i="8"/>
  <c r="G12" i="8"/>
  <c r="G24" i="8"/>
  <c r="G36" i="8"/>
  <c r="G48" i="8"/>
  <c r="G60" i="8"/>
  <c r="G72" i="8"/>
  <c r="G84" i="8"/>
  <c r="G96" i="8"/>
  <c r="G108" i="8"/>
  <c r="G120" i="8"/>
  <c r="G132" i="8"/>
  <c r="G144" i="8"/>
  <c r="G156" i="8"/>
  <c r="G168" i="8"/>
  <c r="G180" i="8"/>
  <c r="G192" i="8"/>
  <c r="G204" i="8"/>
  <c r="G216" i="8"/>
  <c r="G228" i="8"/>
  <c r="G240" i="8"/>
  <c r="G252" i="8"/>
  <c r="G264" i="8"/>
  <c r="G276" i="8"/>
  <c r="G288" i="8"/>
  <c r="G300" i="8"/>
  <c r="G312" i="8"/>
  <c r="G324" i="8"/>
  <c r="G336" i="8"/>
  <c r="G348" i="8"/>
  <c r="G360" i="8"/>
  <c r="G372" i="8"/>
  <c r="G384" i="8"/>
  <c r="G396" i="8"/>
  <c r="G408" i="8"/>
  <c r="G420" i="8"/>
  <c r="G432" i="8"/>
  <c r="G444" i="8"/>
  <c r="G456" i="8"/>
  <c r="G468" i="8"/>
  <c r="G480" i="8"/>
  <c r="G492" i="8"/>
  <c r="G504" i="8"/>
  <c r="G516" i="8"/>
  <c r="G528" i="8"/>
  <c r="G540" i="8"/>
  <c r="G552" i="8"/>
  <c r="G564" i="8"/>
  <c r="G576" i="8"/>
  <c r="G588" i="8"/>
  <c r="G600" i="8"/>
  <c r="G612" i="8"/>
  <c r="G624" i="8"/>
  <c r="G636" i="8"/>
  <c r="G648" i="8"/>
  <c r="G660" i="8"/>
  <c r="G672" i="8"/>
  <c r="G684" i="8"/>
  <c r="G696" i="8"/>
  <c r="G708" i="8"/>
  <c r="G720" i="8"/>
  <c r="G732" i="8"/>
  <c r="G744" i="8"/>
  <c r="G756" i="8"/>
  <c r="G768" i="8"/>
  <c r="G780" i="8"/>
  <c r="G792" i="8"/>
  <c r="G804" i="8"/>
  <c r="G816" i="8"/>
  <c r="G828" i="8"/>
  <c r="G840" i="8"/>
  <c r="G852" i="8"/>
  <c r="G864" i="8"/>
  <c r="G876" i="8"/>
  <c r="G888" i="8"/>
  <c r="G900" i="8"/>
  <c r="G912" i="8"/>
  <c r="G924" i="8"/>
  <c r="G936" i="8"/>
  <c r="G948" i="8"/>
  <c r="G960" i="8"/>
  <c r="G972" i="8"/>
  <c r="G984" i="8"/>
  <c r="G996" i="8"/>
  <c r="G13" i="8"/>
  <c r="G25" i="8"/>
  <c r="G37" i="8"/>
  <c r="G49" i="8"/>
  <c r="G61" i="8"/>
  <c r="G73" i="8"/>
  <c r="G85" i="8"/>
  <c r="G97" i="8"/>
  <c r="G109" i="8"/>
  <c r="G121" i="8"/>
  <c r="G133" i="8"/>
  <c r="G145" i="8"/>
  <c r="G157" i="8"/>
  <c r="G169" i="8"/>
  <c r="G181" i="8"/>
  <c r="G193" i="8"/>
  <c r="G205" i="8"/>
  <c r="G217" i="8"/>
  <c r="G229" i="8"/>
  <c r="G241" i="8"/>
  <c r="G253" i="8"/>
  <c r="G265" i="8"/>
  <c r="G277" i="8"/>
  <c r="G289" i="8"/>
  <c r="G301" i="8"/>
  <c r="G313" i="8"/>
  <c r="G325" i="8"/>
  <c r="G337" i="8"/>
  <c r="G349" i="8"/>
  <c r="G361" i="8"/>
  <c r="G373" i="8"/>
  <c r="G385" i="8"/>
  <c r="G397" i="8"/>
  <c r="G409" i="8"/>
  <c r="G421" i="8"/>
  <c r="G433" i="8"/>
  <c r="G445" i="8"/>
  <c r="G457" i="8"/>
  <c r="G469" i="8"/>
  <c r="G481" i="8"/>
  <c r="G493" i="8"/>
  <c r="G505" i="8"/>
  <c r="G517" i="8"/>
  <c r="G529" i="8"/>
  <c r="G541" i="8"/>
  <c r="G553" i="8"/>
  <c r="G565" i="8"/>
  <c r="G577" i="8"/>
  <c r="G589" i="8"/>
  <c r="G601" i="8"/>
  <c r="G613" i="8"/>
  <c r="G625" i="8"/>
  <c r="G637" i="8"/>
  <c r="G649" i="8"/>
  <c r="G661" i="8"/>
  <c r="G673" i="8"/>
  <c r="G685" i="8"/>
  <c r="G697" i="8"/>
  <c r="G709" i="8"/>
  <c r="G721" i="8"/>
  <c r="G733" i="8"/>
  <c r="G745" i="8"/>
  <c r="G757" i="8"/>
  <c r="G769" i="8"/>
  <c r="G781" i="8"/>
  <c r="G793" i="8"/>
  <c r="G805" i="8"/>
  <c r="G817" i="8"/>
  <c r="G829" i="8"/>
  <c r="G841" i="8"/>
  <c r="G853" i="8"/>
  <c r="G865" i="8"/>
  <c r="G877" i="8"/>
  <c r="G889" i="8"/>
  <c r="G901" i="8"/>
  <c r="G913" i="8"/>
  <c r="G925" i="8"/>
  <c r="G937" i="8"/>
  <c r="G949" i="8"/>
  <c r="G961" i="8"/>
  <c r="G973" i="8"/>
  <c r="G985" i="8"/>
  <c r="G997" i="8"/>
  <c r="G14" i="8"/>
  <c r="G26" i="8"/>
  <c r="G38" i="8"/>
  <c r="G50" i="8"/>
  <c r="G62" i="8"/>
  <c r="G74" i="8"/>
  <c r="G86" i="8"/>
  <c r="G98" i="8"/>
  <c r="G110" i="8"/>
  <c r="G122" i="8"/>
  <c r="G134" i="8"/>
  <c r="G146" i="8"/>
  <c r="G158" i="8"/>
  <c r="G170" i="8"/>
  <c r="G182" i="8"/>
  <c r="G194" i="8"/>
  <c r="G206" i="8"/>
  <c r="G218" i="8"/>
  <c r="G230" i="8"/>
  <c r="G242" i="8"/>
  <c r="G254" i="8"/>
  <c r="G266" i="8"/>
  <c r="G278" i="8"/>
  <c r="G290" i="8"/>
  <c r="G302" i="8"/>
  <c r="G314" i="8"/>
  <c r="G326" i="8"/>
  <c r="G338" i="8"/>
  <c r="G350" i="8"/>
  <c r="G362" i="8"/>
  <c r="G374" i="8"/>
  <c r="G386" i="8"/>
  <c r="G398" i="8"/>
  <c r="G410" i="8"/>
  <c r="G422" i="8"/>
  <c r="G434" i="8"/>
  <c r="G446" i="8"/>
  <c r="G458" i="8"/>
  <c r="G470" i="8"/>
  <c r="G482" i="8"/>
  <c r="G494" i="8"/>
  <c r="G506" i="8"/>
  <c r="G518" i="8"/>
  <c r="G530" i="8"/>
  <c r="G542" i="8"/>
  <c r="G554" i="8"/>
  <c r="G566" i="8"/>
  <c r="G578" i="8"/>
  <c r="G590" i="8"/>
  <c r="G602" i="8"/>
  <c r="G614" i="8"/>
  <c r="G626" i="8"/>
  <c r="G638" i="8"/>
  <c r="G650" i="8"/>
  <c r="G662" i="8"/>
  <c r="G674" i="8"/>
  <c r="G686" i="8"/>
  <c r="G698" i="8"/>
  <c r="G710" i="8"/>
  <c r="G722" i="8"/>
  <c r="G734" i="8"/>
  <c r="G746" i="8"/>
  <c r="G758" i="8"/>
  <c r="G770" i="8"/>
  <c r="G782" i="8"/>
  <c r="G794" i="8"/>
  <c r="G806" i="8"/>
  <c r="G818" i="8"/>
  <c r="G830" i="8"/>
  <c r="G842" i="8"/>
  <c r="G854" i="8"/>
  <c r="G866" i="8"/>
  <c r="G878" i="8"/>
  <c r="G890" i="8"/>
  <c r="G902" i="8"/>
  <c r="G914" i="8"/>
  <c r="G926" i="8"/>
  <c r="G938" i="8"/>
  <c r="G950" i="8"/>
  <c r="G962" i="8"/>
  <c r="G974" i="8"/>
  <c r="G986" i="8"/>
  <c r="G998" i="8"/>
  <c r="C4" i="6"/>
  <c r="D4" i="6" s="1"/>
  <c r="E4" i="6" s="1"/>
  <c r="F4" i="6" s="1"/>
  <c r="G4" i="6" s="1"/>
  <c r="H4" i="6" s="1"/>
  <c r="I4" i="6" s="1"/>
  <c r="J4" i="6" s="1"/>
  <c r="K4" i="6" s="1"/>
  <c r="L4" i="6" s="1"/>
  <c r="M4" i="6" s="1"/>
  <c r="N4" i="6" s="1"/>
  <c r="O4" i="6" s="1"/>
  <c r="P4" i="6" s="1"/>
  <c r="Q4" i="6" s="1"/>
  <c r="R4" i="6" s="1"/>
  <c r="S4" i="6" s="1"/>
  <c r="T4" i="6" s="1"/>
  <c r="U4" i="6" s="1"/>
  <c r="V4" i="6" s="1"/>
  <c r="W4" i="6" s="1"/>
  <c r="X4" i="6" s="1"/>
  <c r="Y4" i="6" s="1"/>
  <c r="Z4" i="6" s="1"/>
  <c r="AA4" i="6" s="1"/>
  <c r="AB4" i="6" s="1"/>
  <c r="AC4" i="6" s="1"/>
  <c r="AD4" i="6" s="1"/>
  <c r="AE4" i="6" s="1"/>
  <c r="AF4" i="6" s="1"/>
  <c r="AG4" i="6" s="1"/>
  <c r="AH4" i="6" s="1"/>
  <c r="AI4" i="6" s="1"/>
  <c r="AJ4" i="6" s="1"/>
  <c r="AK4" i="6" s="1"/>
  <c r="AL4" i="6" s="1"/>
  <c r="AM4" i="6" s="1"/>
  <c r="AN4" i="6" s="1"/>
  <c r="AO4" i="6" s="1"/>
  <c r="AP4" i="6" s="1"/>
  <c r="F3" i="8" l="1"/>
  <c r="F15" i="8"/>
  <c r="F27" i="8"/>
  <c r="F39" i="8"/>
  <c r="F51" i="8"/>
  <c r="F63" i="8"/>
  <c r="F75" i="8"/>
  <c r="F87" i="8"/>
  <c r="F99" i="8"/>
  <c r="F111" i="8"/>
  <c r="H111" i="8" s="1"/>
  <c r="F123" i="8"/>
  <c r="H123" i="8" s="1"/>
  <c r="F135" i="8"/>
  <c r="H135" i="8" s="1"/>
  <c r="F147" i="8"/>
  <c r="H147" i="8" s="1"/>
  <c r="F159" i="8"/>
  <c r="H159" i="8" s="1"/>
  <c r="F171" i="8"/>
  <c r="H171" i="8" s="1"/>
  <c r="F183" i="8"/>
  <c r="H183" i="8" s="1"/>
  <c r="F195" i="8"/>
  <c r="H195" i="8" s="1"/>
  <c r="F207" i="8"/>
  <c r="H207" i="8" s="1"/>
  <c r="F219" i="8"/>
  <c r="H219" i="8" s="1"/>
  <c r="F231" i="8"/>
  <c r="H231" i="8" s="1"/>
  <c r="F243" i="8"/>
  <c r="H243" i="8" s="1"/>
  <c r="F255" i="8"/>
  <c r="H255" i="8" s="1"/>
  <c r="F267" i="8"/>
  <c r="H267" i="8" s="1"/>
  <c r="F279" i="8"/>
  <c r="H279" i="8" s="1"/>
  <c r="F291" i="8"/>
  <c r="H291" i="8" s="1"/>
  <c r="F303" i="8"/>
  <c r="H303" i="8" s="1"/>
  <c r="F315" i="8"/>
  <c r="H315" i="8" s="1"/>
  <c r="F327" i="8"/>
  <c r="H327" i="8" s="1"/>
  <c r="F339" i="8"/>
  <c r="H339" i="8" s="1"/>
  <c r="F351" i="8"/>
  <c r="H351" i="8" s="1"/>
  <c r="F363" i="8"/>
  <c r="H363" i="8" s="1"/>
  <c r="F375" i="8"/>
  <c r="H375" i="8" s="1"/>
  <c r="F387" i="8"/>
  <c r="H387" i="8" s="1"/>
  <c r="F399" i="8"/>
  <c r="H399" i="8" s="1"/>
  <c r="F411" i="8"/>
  <c r="H411" i="8" s="1"/>
  <c r="F423" i="8"/>
  <c r="H423" i="8" s="1"/>
  <c r="F435" i="8"/>
  <c r="H435" i="8" s="1"/>
  <c r="F447" i="8"/>
  <c r="H447" i="8" s="1"/>
  <c r="F459" i="8"/>
  <c r="H459" i="8" s="1"/>
  <c r="F471" i="8"/>
  <c r="H471" i="8" s="1"/>
  <c r="F483" i="8"/>
  <c r="H483" i="8" s="1"/>
  <c r="F495" i="8"/>
  <c r="H495" i="8" s="1"/>
  <c r="F507" i="8"/>
  <c r="H507" i="8" s="1"/>
  <c r="F519" i="8"/>
  <c r="H519" i="8" s="1"/>
  <c r="F531" i="8"/>
  <c r="H531" i="8" s="1"/>
  <c r="F543" i="8"/>
  <c r="H543" i="8" s="1"/>
  <c r="F555" i="8"/>
  <c r="H555" i="8" s="1"/>
  <c r="F567" i="8"/>
  <c r="H567" i="8" s="1"/>
  <c r="F579" i="8"/>
  <c r="H579" i="8" s="1"/>
  <c r="F591" i="8"/>
  <c r="H591" i="8" s="1"/>
  <c r="F603" i="8"/>
  <c r="H603" i="8" s="1"/>
  <c r="F615" i="8"/>
  <c r="H615" i="8" s="1"/>
  <c r="F627" i="8"/>
  <c r="H627" i="8" s="1"/>
  <c r="F639" i="8"/>
  <c r="H639" i="8" s="1"/>
  <c r="F651" i="8"/>
  <c r="H651" i="8" s="1"/>
  <c r="F663" i="8"/>
  <c r="H663" i="8" s="1"/>
  <c r="F675" i="8"/>
  <c r="H675" i="8" s="1"/>
  <c r="F687" i="8"/>
  <c r="H687" i="8" s="1"/>
  <c r="F699" i="8"/>
  <c r="H699" i="8" s="1"/>
  <c r="F711" i="8"/>
  <c r="H711" i="8" s="1"/>
  <c r="F723" i="8"/>
  <c r="H723" i="8" s="1"/>
  <c r="F735" i="8"/>
  <c r="H735" i="8" s="1"/>
  <c r="F747" i="8"/>
  <c r="H747" i="8" s="1"/>
  <c r="F759" i="8"/>
  <c r="H759" i="8" s="1"/>
  <c r="F771" i="8"/>
  <c r="H771" i="8" s="1"/>
  <c r="F783" i="8"/>
  <c r="H783" i="8" s="1"/>
  <c r="F795" i="8"/>
  <c r="H795" i="8" s="1"/>
  <c r="F807" i="8"/>
  <c r="H807" i="8" s="1"/>
  <c r="F819" i="8"/>
  <c r="H819" i="8" s="1"/>
  <c r="F831" i="8"/>
  <c r="H831" i="8" s="1"/>
  <c r="F843" i="8"/>
  <c r="H843" i="8" s="1"/>
  <c r="F855" i="8"/>
  <c r="H855" i="8" s="1"/>
  <c r="F867" i="8"/>
  <c r="H867" i="8" s="1"/>
  <c r="F879" i="8"/>
  <c r="H879" i="8" s="1"/>
  <c r="F891" i="8"/>
  <c r="H891" i="8" s="1"/>
  <c r="F903" i="8"/>
  <c r="H903" i="8" s="1"/>
  <c r="F915" i="8"/>
  <c r="H915" i="8" s="1"/>
  <c r="F927" i="8"/>
  <c r="H927" i="8" s="1"/>
  <c r="F939" i="8"/>
  <c r="H939" i="8" s="1"/>
  <c r="F951" i="8"/>
  <c r="H951" i="8" s="1"/>
  <c r="F963" i="8"/>
  <c r="H963" i="8" s="1"/>
  <c r="F975" i="8"/>
  <c r="H975" i="8" s="1"/>
  <c r="F987" i="8"/>
  <c r="H987" i="8" s="1"/>
  <c r="F999" i="8"/>
  <c r="H999" i="8" s="1"/>
  <c r="F4" i="8"/>
  <c r="F16" i="8"/>
  <c r="F28" i="8"/>
  <c r="F40" i="8"/>
  <c r="F52" i="8"/>
  <c r="F64" i="8"/>
  <c r="F76" i="8"/>
  <c r="F88" i="8"/>
  <c r="F100" i="8"/>
  <c r="F112" i="8"/>
  <c r="H112" i="8" s="1"/>
  <c r="F124" i="8"/>
  <c r="H124" i="8" s="1"/>
  <c r="F136" i="8"/>
  <c r="H136" i="8" s="1"/>
  <c r="F148" i="8"/>
  <c r="H148" i="8" s="1"/>
  <c r="F160" i="8"/>
  <c r="H160" i="8" s="1"/>
  <c r="F172" i="8"/>
  <c r="H172" i="8" s="1"/>
  <c r="F184" i="8"/>
  <c r="H184" i="8" s="1"/>
  <c r="F196" i="8"/>
  <c r="H196" i="8" s="1"/>
  <c r="F208" i="8"/>
  <c r="H208" i="8" s="1"/>
  <c r="F220" i="8"/>
  <c r="H220" i="8" s="1"/>
  <c r="F232" i="8"/>
  <c r="H232" i="8" s="1"/>
  <c r="F244" i="8"/>
  <c r="H244" i="8" s="1"/>
  <c r="F256" i="8"/>
  <c r="H256" i="8" s="1"/>
  <c r="F268" i="8"/>
  <c r="H268" i="8" s="1"/>
  <c r="F280" i="8"/>
  <c r="H280" i="8" s="1"/>
  <c r="F292" i="8"/>
  <c r="H292" i="8" s="1"/>
  <c r="F304" i="8"/>
  <c r="H304" i="8" s="1"/>
  <c r="F316" i="8"/>
  <c r="H316" i="8" s="1"/>
  <c r="F328" i="8"/>
  <c r="H328" i="8" s="1"/>
  <c r="F340" i="8"/>
  <c r="H340" i="8" s="1"/>
  <c r="F352" i="8"/>
  <c r="H352" i="8" s="1"/>
  <c r="F364" i="8"/>
  <c r="H364" i="8" s="1"/>
  <c r="F376" i="8"/>
  <c r="H376" i="8" s="1"/>
  <c r="F388" i="8"/>
  <c r="H388" i="8" s="1"/>
  <c r="F400" i="8"/>
  <c r="H400" i="8" s="1"/>
  <c r="F412" i="8"/>
  <c r="H412" i="8" s="1"/>
  <c r="F424" i="8"/>
  <c r="H424" i="8" s="1"/>
  <c r="F436" i="8"/>
  <c r="H436" i="8" s="1"/>
  <c r="F448" i="8"/>
  <c r="H448" i="8" s="1"/>
  <c r="F460" i="8"/>
  <c r="H460" i="8" s="1"/>
  <c r="F472" i="8"/>
  <c r="H472" i="8" s="1"/>
  <c r="F484" i="8"/>
  <c r="H484" i="8" s="1"/>
  <c r="F496" i="8"/>
  <c r="H496" i="8" s="1"/>
  <c r="F508" i="8"/>
  <c r="H508" i="8" s="1"/>
  <c r="F520" i="8"/>
  <c r="H520" i="8" s="1"/>
  <c r="F532" i="8"/>
  <c r="H532" i="8" s="1"/>
  <c r="F544" i="8"/>
  <c r="H544" i="8" s="1"/>
  <c r="F556" i="8"/>
  <c r="H556" i="8" s="1"/>
  <c r="F568" i="8"/>
  <c r="H568" i="8" s="1"/>
  <c r="F580" i="8"/>
  <c r="H580" i="8" s="1"/>
  <c r="F592" i="8"/>
  <c r="H592" i="8" s="1"/>
  <c r="F604" i="8"/>
  <c r="H604" i="8" s="1"/>
  <c r="F616" i="8"/>
  <c r="H616" i="8" s="1"/>
  <c r="F628" i="8"/>
  <c r="H628" i="8" s="1"/>
  <c r="F640" i="8"/>
  <c r="H640" i="8" s="1"/>
  <c r="F652" i="8"/>
  <c r="H652" i="8" s="1"/>
  <c r="F664" i="8"/>
  <c r="H664" i="8" s="1"/>
  <c r="F676" i="8"/>
  <c r="H676" i="8" s="1"/>
  <c r="F688" i="8"/>
  <c r="H688" i="8" s="1"/>
  <c r="F700" i="8"/>
  <c r="H700" i="8" s="1"/>
  <c r="F712" i="8"/>
  <c r="H712" i="8" s="1"/>
  <c r="F724" i="8"/>
  <c r="H724" i="8" s="1"/>
  <c r="F736" i="8"/>
  <c r="H736" i="8" s="1"/>
  <c r="F748" i="8"/>
  <c r="H748" i="8" s="1"/>
  <c r="F760" i="8"/>
  <c r="H760" i="8" s="1"/>
  <c r="F772" i="8"/>
  <c r="H772" i="8" s="1"/>
  <c r="F784" i="8"/>
  <c r="H784" i="8" s="1"/>
  <c r="F796" i="8"/>
  <c r="H796" i="8" s="1"/>
  <c r="F808" i="8"/>
  <c r="H808" i="8" s="1"/>
  <c r="F820" i="8"/>
  <c r="H820" i="8" s="1"/>
  <c r="F832" i="8"/>
  <c r="H832" i="8" s="1"/>
  <c r="F844" i="8"/>
  <c r="H844" i="8" s="1"/>
  <c r="F856" i="8"/>
  <c r="H856" i="8" s="1"/>
  <c r="F868" i="8"/>
  <c r="H868" i="8" s="1"/>
  <c r="F880" i="8"/>
  <c r="H880" i="8" s="1"/>
  <c r="F892" i="8"/>
  <c r="H892" i="8" s="1"/>
  <c r="F904" i="8"/>
  <c r="H904" i="8" s="1"/>
  <c r="F916" i="8"/>
  <c r="H916" i="8" s="1"/>
  <c r="F928" i="8"/>
  <c r="H928" i="8" s="1"/>
  <c r="F940" i="8"/>
  <c r="H940" i="8" s="1"/>
  <c r="F952" i="8"/>
  <c r="H952" i="8" s="1"/>
  <c r="F964" i="8"/>
  <c r="H964" i="8" s="1"/>
  <c r="F976" i="8"/>
  <c r="H976" i="8" s="1"/>
  <c r="F988" i="8"/>
  <c r="H988" i="8" s="1"/>
  <c r="F1000" i="8"/>
  <c r="H1000" i="8" s="1"/>
  <c r="F5" i="8"/>
  <c r="F17" i="8"/>
  <c r="F29" i="8"/>
  <c r="F41" i="8"/>
  <c r="F53" i="8"/>
  <c r="F65" i="8"/>
  <c r="F77" i="8"/>
  <c r="F89" i="8"/>
  <c r="F101" i="8"/>
  <c r="F113" i="8"/>
  <c r="H113" i="8" s="1"/>
  <c r="F125" i="8"/>
  <c r="H125" i="8" s="1"/>
  <c r="F137" i="8"/>
  <c r="H137" i="8" s="1"/>
  <c r="F149" i="8"/>
  <c r="H149" i="8" s="1"/>
  <c r="F161" i="8"/>
  <c r="H161" i="8" s="1"/>
  <c r="F173" i="8"/>
  <c r="H173" i="8" s="1"/>
  <c r="F185" i="8"/>
  <c r="H185" i="8" s="1"/>
  <c r="F197" i="8"/>
  <c r="H197" i="8" s="1"/>
  <c r="F209" i="8"/>
  <c r="H209" i="8" s="1"/>
  <c r="F221" i="8"/>
  <c r="H221" i="8" s="1"/>
  <c r="F233" i="8"/>
  <c r="H233" i="8" s="1"/>
  <c r="F245" i="8"/>
  <c r="H245" i="8" s="1"/>
  <c r="F257" i="8"/>
  <c r="H257" i="8" s="1"/>
  <c r="F269" i="8"/>
  <c r="H269" i="8" s="1"/>
  <c r="F281" i="8"/>
  <c r="H281" i="8" s="1"/>
  <c r="F293" i="8"/>
  <c r="H293" i="8" s="1"/>
  <c r="F305" i="8"/>
  <c r="H305" i="8" s="1"/>
  <c r="F317" i="8"/>
  <c r="H317" i="8" s="1"/>
  <c r="F329" i="8"/>
  <c r="H329" i="8" s="1"/>
  <c r="F341" i="8"/>
  <c r="H341" i="8" s="1"/>
  <c r="F353" i="8"/>
  <c r="H353" i="8" s="1"/>
  <c r="F365" i="8"/>
  <c r="H365" i="8" s="1"/>
  <c r="F377" i="8"/>
  <c r="H377" i="8" s="1"/>
  <c r="F389" i="8"/>
  <c r="H389" i="8" s="1"/>
  <c r="F401" i="8"/>
  <c r="H401" i="8" s="1"/>
  <c r="F413" i="8"/>
  <c r="H413" i="8" s="1"/>
  <c r="F425" i="8"/>
  <c r="H425" i="8" s="1"/>
  <c r="F437" i="8"/>
  <c r="H437" i="8" s="1"/>
  <c r="F449" i="8"/>
  <c r="H449" i="8" s="1"/>
  <c r="F461" i="8"/>
  <c r="H461" i="8" s="1"/>
  <c r="F473" i="8"/>
  <c r="H473" i="8" s="1"/>
  <c r="F485" i="8"/>
  <c r="H485" i="8" s="1"/>
  <c r="F497" i="8"/>
  <c r="H497" i="8" s="1"/>
  <c r="F509" i="8"/>
  <c r="H509" i="8" s="1"/>
  <c r="F521" i="8"/>
  <c r="H521" i="8" s="1"/>
  <c r="F533" i="8"/>
  <c r="H533" i="8" s="1"/>
  <c r="F545" i="8"/>
  <c r="H545" i="8" s="1"/>
  <c r="F557" i="8"/>
  <c r="H557" i="8" s="1"/>
  <c r="F569" i="8"/>
  <c r="H569" i="8" s="1"/>
  <c r="F581" i="8"/>
  <c r="H581" i="8" s="1"/>
  <c r="F593" i="8"/>
  <c r="H593" i="8" s="1"/>
  <c r="F605" i="8"/>
  <c r="H605" i="8" s="1"/>
  <c r="F617" i="8"/>
  <c r="H617" i="8" s="1"/>
  <c r="F629" i="8"/>
  <c r="H629" i="8" s="1"/>
  <c r="F641" i="8"/>
  <c r="H641" i="8" s="1"/>
  <c r="F653" i="8"/>
  <c r="H653" i="8" s="1"/>
  <c r="F665" i="8"/>
  <c r="H665" i="8" s="1"/>
  <c r="F677" i="8"/>
  <c r="H677" i="8" s="1"/>
  <c r="F689" i="8"/>
  <c r="H689" i="8" s="1"/>
  <c r="F701" i="8"/>
  <c r="H701" i="8" s="1"/>
  <c r="F713" i="8"/>
  <c r="H713" i="8" s="1"/>
  <c r="F725" i="8"/>
  <c r="H725" i="8" s="1"/>
  <c r="F737" i="8"/>
  <c r="H737" i="8" s="1"/>
  <c r="F749" i="8"/>
  <c r="H749" i="8" s="1"/>
  <c r="F761" i="8"/>
  <c r="H761" i="8" s="1"/>
  <c r="F773" i="8"/>
  <c r="H773" i="8" s="1"/>
  <c r="F785" i="8"/>
  <c r="H785" i="8" s="1"/>
  <c r="F797" i="8"/>
  <c r="H797" i="8" s="1"/>
  <c r="F809" i="8"/>
  <c r="H809" i="8" s="1"/>
  <c r="F821" i="8"/>
  <c r="H821" i="8" s="1"/>
  <c r="F833" i="8"/>
  <c r="H833" i="8" s="1"/>
  <c r="F845" i="8"/>
  <c r="H845" i="8" s="1"/>
  <c r="F857" i="8"/>
  <c r="H857" i="8" s="1"/>
  <c r="F869" i="8"/>
  <c r="H869" i="8" s="1"/>
  <c r="F881" i="8"/>
  <c r="H881" i="8" s="1"/>
  <c r="F893" i="8"/>
  <c r="H893" i="8" s="1"/>
  <c r="F905" i="8"/>
  <c r="H905" i="8" s="1"/>
  <c r="F917" i="8"/>
  <c r="H917" i="8" s="1"/>
  <c r="F929" i="8"/>
  <c r="H929" i="8" s="1"/>
  <c r="F941" i="8"/>
  <c r="H941" i="8" s="1"/>
  <c r="F953" i="8"/>
  <c r="H953" i="8" s="1"/>
  <c r="F965" i="8"/>
  <c r="H965" i="8" s="1"/>
  <c r="F977" i="8"/>
  <c r="H977" i="8" s="1"/>
  <c r="F989" i="8"/>
  <c r="H989" i="8" s="1"/>
  <c r="F1001" i="8"/>
  <c r="H1001" i="8" s="1"/>
  <c r="F6" i="8"/>
  <c r="F18" i="8"/>
  <c r="F30" i="8"/>
  <c r="F42" i="8"/>
  <c r="F54" i="8"/>
  <c r="F66" i="8"/>
  <c r="F78" i="8"/>
  <c r="F90" i="8"/>
  <c r="F102" i="8"/>
  <c r="F114" i="8"/>
  <c r="H114" i="8" s="1"/>
  <c r="F126" i="8"/>
  <c r="H126" i="8" s="1"/>
  <c r="F138" i="8"/>
  <c r="H138" i="8" s="1"/>
  <c r="F150" i="8"/>
  <c r="H150" i="8" s="1"/>
  <c r="F162" i="8"/>
  <c r="H162" i="8" s="1"/>
  <c r="F174" i="8"/>
  <c r="H174" i="8" s="1"/>
  <c r="F186" i="8"/>
  <c r="H186" i="8" s="1"/>
  <c r="F198" i="8"/>
  <c r="H198" i="8" s="1"/>
  <c r="F210" i="8"/>
  <c r="H210" i="8" s="1"/>
  <c r="F222" i="8"/>
  <c r="H222" i="8" s="1"/>
  <c r="F234" i="8"/>
  <c r="H234" i="8" s="1"/>
  <c r="F246" i="8"/>
  <c r="H246" i="8" s="1"/>
  <c r="F258" i="8"/>
  <c r="H258" i="8" s="1"/>
  <c r="F270" i="8"/>
  <c r="H270" i="8" s="1"/>
  <c r="F282" i="8"/>
  <c r="H282" i="8" s="1"/>
  <c r="F294" i="8"/>
  <c r="H294" i="8" s="1"/>
  <c r="F306" i="8"/>
  <c r="H306" i="8" s="1"/>
  <c r="F318" i="8"/>
  <c r="H318" i="8" s="1"/>
  <c r="F330" i="8"/>
  <c r="H330" i="8" s="1"/>
  <c r="F342" i="8"/>
  <c r="H342" i="8" s="1"/>
  <c r="F354" i="8"/>
  <c r="H354" i="8" s="1"/>
  <c r="F366" i="8"/>
  <c r="H366" i="8" s="1"/>
  <c r="F378" i="8"/>
  <c r="H378" i="8" s="1"/>
  <c r="F390" i="8"/>
  <c r="H390" i="8" s="1"/>
  <c r="F402" i="8"/>
  <c r="H402" i="8" s="1"/>
  <c r="F414" i="8"/>
  <c r="H414" i="8" s="1"/>
  <c r="F426" i="8"/>
  <c r="H426" i="8" s="1"/>
  <c r="F438" i="8"/>
  <c r="H438" i="8" s="1"/>
  <c r="F450" i="8"/>
  <c r="H450" i="8" s="1"/>
  <c r="F462" i="8"/>
  <c r="H462" i="8" s="1"/>
  <c r="F474" i="8"/>
  <c r="H474" i="8" s="1"/>
  <c r="F486" i="8"/>
  <c r="H486" i="8" s="1"/>
  <c r="F498" i="8"/>
  <c r="H498" i="8" s="1"/>
  <c r="F510" i="8"/>
  <c r="H510" i="8" s="1"/>
  <c r="F522" i="8"/>
  <c r="H522" i="8" s="1"/>
  <c r="F534" i="8"/>
  <c r="H534" i="8" s="1"/>
  <c r="F546" i="8"/>
  <c r="H546" i="8" s="1"/>
  <c r="F558" i="8"/>
  <c r="H558" i="8" s="1"/>
  <c r="F570" i="8"/>
  <c r="H570" i="8" s="1"/>
  <c r="F582" i="8"/>
  <c r="H582" i="8" s="1"/>
  <c r="F594" i="8"/>
  <c r="H594" i="8" s="1"/>
  <c r="F606" i="8"/>
  <c r="H606" i="8" s="1"/>
  <c r="F618" i="8"/>
  <c r="H618" i="8" s="1"/>
  <c r="F630" i="8"/>
  <c r="H630" i="8" s="1"/>
  <c r="F642" i="8"/>
  <c r="H642" i="8" s="1"/>
  <c r="F654" i="8"/>
  <c r="H654" i="8" s="1"/>
  <c r="F666" i="8"/>
  <c r="H666" i="8" s="1"/>
  <c r="F678" i="8"/>
  <c r="H678" i="8" s="1"/>
  <c r="F690" i="8"/>
  <c r="H690" i="8" s="1"/>
  <c r="F702" i="8"/>
  <c r="H702" i="8" s="1"/>
  <c r="F714" i="8"/>
  <c r="H714" i="8" s="1"/>
  <c r="F726" i="8"/>
  <c r="H726" i="8" s="1"/>
  <c r="F738" i="8"/>
  <c r="H738" i="8" s="1"/>
  <c r="F750" i="8"/>
  <c r="H750" i="8" s="1"/>
  <c r="F762" i="8"/>
  <c r="H762" i="8" s="1"/>
  <c r="F774" i="8"/>
  <c r="H774" i="8" s="1"/>
  <c r="F786" i="8"/>
  <c r="H786" i="8" s="1"/>
  <c r="F798" i="8"/>
  <c r="H798" i="8" s="1"/>
  <c r="F810" i="8"/>
  <c r="H810" i="8" s="1"/>
  <c r="F822" i="8"/>
  <c r="H822" i="8" s="1"/>
  <c r="F834" i="8"/>
  <c r="H834" i="8" s="1"/>
  <c r="F846" i="8"/>
  <c r="H846" i="8" s="1"/>
  <c r="F858" i="8"/>
  <c r="H858" i="8" s="1"/>
  <c r="F870" i="8"/>
  <c r="H870" i="8" s="1"/>
  <c r="F882" i="8"/>
  <c r="H882" i="8" s="1"/>
  <c r="F894" i="8"/>
  <c r="H894" i="8" s="1"/>
  <c r="F906" i="8"/>
  <c r="H906" i="8" s="1"/>
  <c r="F918" i="8"/>
  <c r="H918" i="8" s="1"/>
  <c r="F930" i="8"/>
  <c r="H930" i="8" s="1"/>
  <c r="F942" i="8"/>
  <c r="H942" i="8" s="1"/>
  <c r="F954" i="8"/>
  <c r="H954" i="8" s="1"/>
  <c r="F966" i="8"/>
  <c r="H966" i="8" s="1"/>
  <c r="F978" i="8"/>
  <c r="H978" i="8" s="1"/>
  <c r="F990" i="8"/>
  <c r="H990" i="8" s="1"/>
  <c r="F1002" i="8"/>
  <c r="H1002" i="8" s="1"/>
  <c r="F7" i="8"/>
  <c r="F19" i="8"/>
  <c r="F31" i="8"/>
  <c r="F43" i="8"/>
  <c r="F55" i="8"/>
  <c r="F67" i="8"/>
  <c r="F79" i="8"/>
  <c r="F91" i="8"/>
  <c r="F103" i="8"/>
  <c r="H103" i="8" s="1"/>
  <c r="F115" i="8"/>
  <c r="H115" i="8" s="1"/>
  <c r="F127" i="8"/>
  <c r="H127" i="8" s="1"/>
  <c r="F139" i="8"/>
  <c r="H139" i="8" s="1"/>
  <c r="F151" i="8"/>
  <c r="H151" i="8" s="1"/>
  <c r="F163" i="8"/>
  <c r="H163" i="8" s="1"/>
  <c r="F175" i="8"/>
  <c r="H175" i="8" s="1"/>
  <c r="F187" i="8"/>
  <c r="H187" i="8" s="1"/>
  <c r="F199" i="8"/>
  <c r="H199" i="8" s="1"/>
  <c r="F211" i="8"/>
  <c r="H211" i="8" s="1"/>
  <c r="F223" i="8"/>
  <c r="H223" i="8" s="1"/>
  <c r="F235" i="8"/>
  <c r="H235" i="8" s="1"/>
  <c r="F247" i="8"/>
  <c r="H247" i="8" s="1"/>
  <c r="F259" i="8"/>
  <c r="H259" i="8" s="1"/>
  <c r="F271" i="8"/>
  <c r="H271" i="8" s="1"/>
  <c r="F283" i="8"/>
  <c r="H283" i="8" s="1"/>
  <c r="F295" i="8"/>
  <c r="H295" i="8" s="1"/>
  <c r="F307" i="8"/>
  <c r="H307" i="8" s="1"/>
  <c r="F319" i="8"/>
  <c r="H319" i="8" s="1"/>
  <c r="F331" i="8"/>
  <c r="H331" i="8" s="1"/>
  <c r="F343" i="8"/>
  <c r="H343" i="8" s="1"/>
  <c r="F355" i="8"/>
  <c r="H355" i="8" s="1"/>
  <c r="F367" i="8"/>
  <c r="H367" i="8" s="1"/>
  <c r="F379" i="8"/>
  <c r="H379" i="8" s="1"/>
  <c r="F391" i="8"/>
  <c r="H391" i="8" s="1"/>
  <c r="F403" i="8"/>
  <c r="H403" i="8" s="1"/>
  <c r="F415" i="8"/>
  <c r="H415" i="8" s="1"/>
  <c r="F427" i="8"/>
  <c r="H427" i="8" s="1"/>
  <c r="F439" i="8"/>
  <c r="H439" i="8" s="1"/>
  <c r="F451" i="8"/>
  <c r="H451" i="8" s="1"/>
  <c r="F463" i="8"/>
  <c r="H463" i="8" s="1"/>
  <c r="F475" i="8"/>
  <c r="H475" i="8" s="1"/>
  <c r="F487" i="8"/>
  <c r="H487" i="8" s="1"/>
  <c r="F499" i="8"/>
  <c r="H499" i="8" s="1"/>
  <c r="F511" i="8"/>
  <c r="H511" i="8" s="1"/>
  <c r="F523" i="8"/>
  <c r="H523" i="8" s="1"/>
  <c r="F535" i="8"/>
  <c r="H535" i="8" s="1"/>
  <c r="F547" i="8"/>
  <c r="H547" i="8" s="1"/>
  <c r="F559" i="8"/>
  <c r="H559" i="8" s="1"/>
  <c r="F571" i="8"/>
  <c r="H571" i="8" s="1"/>
  <c r="F583" i="8"/>
  <c r="H583" i="8" s="1"/>
  <c r="F595" i="8"/>
  <c r="H595" i="8" s="1"/>
  <c r="F607" i="8"/>
  <c r="H607" i="8" s="1"/>
  <c r="F619" i="8"/>
  <c r="H619" i="8" s="1"/>
  <c r="F631" i="8"/>
  <c r="H631" i="8" s="1"/>
  <c r="F643" i="8"/>
  <c r="H643" i="8" s="1"/>
  <c r="F655" i="8"/>
  <c r="H655" i="8" s="1"/>
  <c r="F667" i="8"/>
  <c r="H667" i="8" s="1"/>
  <c r="F679" i="8"/>
  <c r="H679" i="8" s="1"/>
  <c r="F691" i="8"/>
  <c r="H691" i="8" s="1"/>
  <c r="F703" i="8"/>
  <c r="H703" i="8" s="1"/>
  <c r="F715" i="8"/>
  <c r="H715" i="8" s="1"/>
  <c r="F727" i="8"/>
  <c r="H727" i="8" s="1"/>
  <c r="F739" i="8"/>
  <c r="H739" i="8" s="1"/>
  <c r="F751" i="8"/>
  <c r="H751" i="8" s="1"/>
  <c r="F763" i="8"/>
  <c r="H763" i="8" s="1"/>
  <c r="F775" i="8"/>
  <c r="H775" i="8" s="1"/>
  <c r="F787" i="8"/>
  <c r="H787" i="8" s="1"/>
  <c r="F799" i="8"/>
  <c r="H799" i="8" s="1"/>
  <c r="F811" i="8"/>
  <c r="H811" i="8" s="1"/>
  <c r="F823" i="8"/>
  <c r="H823" i="8" s="1"/>
  <c r="F835" i="8"/>
  <c r="H835" i="8" s="1"/>
  <c r="F847" i="8"/>
  <c r="H847" i="8" s="1"/>
  <c r="F859" i="8"/>
  <c r="H859" i="8" s="1"/>
  <c r="F871" i="8"/>
  <c r="H871" i="8" s="1"/>
  <c r="F883" i="8"/>
  <c r="H883" i="8" s="1"/>
  <c r="F895" i="8"/>
  <c r="H895" i="8" s="1"/>
  <c r="F907" i="8"/>
  <c r="H907" i="8" s="1"/>
  <c r="F919" i="8"/>
  <c r="H919" i="8" s="1"/>
  <c r="F931" i="8"/>
  <c r="H931" i="8" s="1"/>
  <c r="F943" i="8"/>
  <c r="H943" i="8" s="1"/>
  <c r="F955" i="8"/>
  <c r="H955" i="8" s="1"/>
  <c r="F967" i="8"/>
  <c r="H967" i="8" s="1"/>
  <c r="F979" i="8"/>
  <c r="H979" i="8" s="1"/>
  <c r="F991" i="8"/>
  <c r="H991" i="8" s="1"/>
  <c r="F8" i="8"/>
  <c r="F20" i="8"/>
  <c r="F32" i="8"/>
  <c r="F44" i="8"/>
  <c r="F56" i="8"/>
  <c r="F68" i="8"/>
  <c r="F80" i="8"/>
  <c r="F92" i="8"/>
  <c r="F104" i="8"/>
  <c r="H104" i="8" s="1"/>
  <c r="F116" i="8"/>
  <c r="H116" i="8" s="1"/>
  <c r="F128" i="8"/>
  <c r="H128" i="8" s="1"/>
  <c r="F140" i="8"/>
  <c r="H140" i="8" s="1"/>
  <c r="F152" i="8"/>
  <c r="H152" i="8" s="1"/>
  <c r="F164" i="8"/>
  <c r="H164" i="8" s="1"/>
  <c r="F176" i="8"/>
  <c r="H176" i="8" s="1"/>
  <c r="F188" i="8"/>
  <c r="H188" i="8" s="1"/>
  <c r="F200" i="8"/>
  <c r="H200" i="8" s="1"/>
  <c r="F212" i="8"/>
  <c r="H212" i="8" s="1"/>
  <c r="F224" i="8"/>
  <c r="H224" i="8" s="1"/>
  <c r="F236" i="8"/>
  <c r="H236" i="8" s="1"/>
  <c r="F248" i="8"/>
  <c r="H248" i="8" s="1"/>
  <c r="F260" i="8"/>
  <c r="H260" i="8" s="1"/>
  <c r="F272" i="8"/>
  <c r="H272" i="8" s="1"/>
  <c r="F284" i="8"/>
  <c r="H284" i="8" s="1"/>
  <c r="F296" i="8"/>
  <c r="H296" i="8" s="1"/>
  <c r="F308" i="8"/>
  <c r="H308" i="8" s="1"/>
  <c r="F320" i="8"/>
  <c r="H320" i="8" s="1"/>
  <c r="F332" i="8"/>
  <c r="H332" i="8" s="1"/>
  <c r="F344" i="8"/>
  <c r="H344" i="8" s="1"/>
  <c r="F356" i="8"/>
  <c r="H356" i="8" s="1"/>
  <c r="F368" i="8"/>
  <c r="H368" i="8" s="1"/>
  <c r="F380" i="8"/>
  <c r="H380" i="8" s="1"/>
  <c r="F392" i="8"/>
  <c r="H392" i="8" s="1"/>
  <c r="F404" i="8"/>
  <c r="H404" i="8" s="1"/>
  <c r="F416" i="8"/>
  <c r="H416" i="8" s="1"/>
  <c r="F428" i="8"/>
  <c r="H428" i="8" s="1"/>
  <c r="F440" i="8"/>
  <c r="H440" i="8" s="1"/>
  <c r="F452" i="8"/>
  <c r="H452" i="8" s="1"/>
  <c r="F464" i="8"/>
  <c r="H464" i="8" s="1"/>
  <c r="F476" i="8"/>
  <c r="H476" i="8" s="1"/>
  <c r="F488" i="8"/>
  <c r="H488" i="8" s="1"/>
  <c r="F500" i="8"/>
  <c r="H500" i="8" s="1"/>
  <c r="F512" i="8"/>
  <c r="H512" i="8" s="1"/>
  <c r="F524" i="8"/>
  <c r="H524" i="8" s="1"/>
  <c r="F536" i="8"/>
  <c r="H536" i="8" s="1"/>
  <c r="F548" i="8"/>
  <c r="H548" i="8" s="1"/>
  <c r="F560" i="8"/>
  <c r="H560" i="8" s="1"/>
  <c r="F572" i="8"/>
  <c r="H572" i="8" s="1"/>
  <c r="F584" i="8"/>
  <c r="H584" i="8" s="1"/>
  <c r="F596" i="8"/>
  <c r="H596" i="8" s="1"/>
  <c r="F608" i="8"/>
  <c r="H608" i="8" s="1"/>
  <c r="F620" i="8"/>
  <c r="H620" i="8" s="1"/>
  <c r="F632" i="8"/>
  <c r="H632" i="8" s="1"/>
  <c r="F644" i="8"/>
  <c r="H644" i="8" s="1"/>
  <c r="F656" i="8"/>
  <c r="H656" i="8" s="1"/>
  <c r="F668" i="8"/>
  <c r="H668" i="8" s="1"/>
  <c r="F680" i="8"/>
  <c r="H680" i="8" s="1"/>
  <c r="F692" i="8"/>
  <c r="H692" i="8" s="1"/>
  <c r="F704" i="8"/>
  <c r="H704" i="8" s="1"/>
  <c r="F716" i="8"/>
  <c r="H716" i="8" s="1"/>
  <c r="F728" i="8"/>
  <c r="H728" i="8" s="1"/>
  <c r="F740" i="8"/>
  <c r="H740" i="8" s="1"/>
  <c r="F752" i="8"/>
  <c r="H752" i="8" s="1"/>
  <c r="F764" i="8"/>
  <c r="H764" i="8" s="1"/>
  <c r="F776" i="8"/>
  <c r="H776" i="8" s="1"/>
  <c r="F788" i="8"/>
  <c r="H788" i="8" s="1"/>
  <c r="F800" i="8"/>
  <c r="H800" i="8" s="1"/>
  <c r="F812" i="8"/>
  <c r="H812" i="8" s="1"/>
  <c r="F824" i="8"/>
  <c r="H824" i="8" s="1"/>
  <c r="F836" i="8"/>
  <c r="H836" i="8" s="1"/>
  <c r="F848" i="8"/>
  <c r="H848" i="8" s="1"/>
  <c r="F860" i="8"/>
  <c r="H860" i="8" s="1"/>
  <c r="F872" i="8"/>
  <c r="H872" i="8" s="1"/>
  <c r="F884" i="8"/>
  <c r="H884" i="8" s="1"/>
  <c r="F896" i="8"/>
  <c r="H896" i="8" s="1"/>
  <c r="F908" i="8"/>
  <c r="H908" i="8" s="1"/>
  <c r="F920" i="8"/>
  <c r="H920" i="8" s="1"/>
  <c r="F932" i="8"/>
  <c r="H932" i="8" s="1"/>
  <c r="F944" i="8"/>
  <c r="H944" i="8" s="1"/>
  <c r="F956" i="8"/>
  <c r="H956" i="8" s="1"/>
  <c r="F968" i="8"/>
  <c r="H968" i="8" s="1"/>
  <c r="F980" i="8"/>
  <c r="H980" i="8" s="1"/>
  <c r="F992" i="8"/>
  <c r="H992" i="8" s="1"/>
  <c r="F9" i="8"/>
  <c r="F21" i="8"/>
  <c r="F33" i="8"/>
  <c r="F45" i="8"/>
  <c r="F57" i="8"/>
  <c r="F69" i="8"/>
  <c r="F81" i="8"/>
  <c r="F93" i="8"/>
  <c r="F105" i="8"/>
  <c r="H105" i="8" s="1"/>
  <c r="F117" i="8"/>
  <c r="H117" i="8" s="1"/>
  <c r="F129" i="8"/>
  <c r="H129" i="8" s="1"/>
  <c r="F141" i="8"/>
  <c r="H141" i="8" s="1"/>
  <c r="F153" i="8"/>
  <c r="H153" i="8" s="1"/>
  <c r="F165" i="8"/>
  <c r="H165" i="8" s="1"/>
  <c r="F177" i="8"/>
  <c r="H177" i="8" s="1"/>
  <c r="F189" i="8"/>
  <c r="H189" i="8" s="1"/>
  <c r="F201" i="8"/>
  <c r="H201" i="8" s="1"/>
  <c r="F213" i="8"/>
  <c r="H213" i="8" s="1"/>
  <c r="F225" i="8"/>
  <c r="H225" i="8" s="1"/>
  <c r="F237" i="8"/>
  <c r="H237" i="8" s="1"/>
  <c r="F249" i="8"/>
  <c r="H249" i="8" s="1"/>
  <c r="F261" i="8"/>
  <c r="H261" i="8" s="1"/>
  <c r="F273" i="8"/>
  <c r="H273" i="8" s="1"/>
  <c r="F285" i="8"/>
  <c r="H285" i="8" s="1"/>
  <c r="F297" i="8"/>
  <c r="H297" i="8" s="1"/>
  <c r="F309" i="8"/>
  <c r="H309" i="8" s="1"/>
  <c r="F321" i="8"/>
  <c r="H321" i="8" s="1"/>
  <c r="F333" i="8"/>
  <c r="H333" i="8" s="1"/>
  <c r="F345" i="8"/>
  <c r="H345" i="8" s="1"/>
  <c r="F357" i="8"/>
  <c r="H357" i="8" s="1"/>
  <c r="F369" i="8"/>
  <c r="H369" i="8" s="1"/>
  <c r="F381" i="8"/>
  <c r="H381" i="8" s="1"/>
  <c r="F393" i="8"/>
  <c r="H393" i="8" s="1"/>
  <c r="F405" i="8"/>
  <c r="H405" i="8" s="1"/>
  <c r="F417" i="8"/>
  <c r="H417" i="8" s="1"/>
  <c r="F429" i="8"/>
  <c r="H429" i="8" s="1"/>
  <c r="F441" i="8"/>
  <c r="H441" i="8" s="1"/>
  <c r="F453" i="8"/>
  <c r="H453" i="8" s="1"/>
  <c r="F465" i="8"/>
  <c r="H465" i="8" s="1"/>
  <c r="F477" i="8"/>
  <c r="H477" i="8" s="1"/>
  <c r="F489" i="8"/>
  <c r="H489" i="8" s="1"/>
  <c r="F501" i="8"/>
  <c r="H501" i="8" s="1"/>
  <c r="F513" i="8"/>
  <c r="H513" i="8" s="1"/>
  <c r="F525" i="8"/>
  <c r="H525" i="8" s="1"/>
  <c r="F537" i="8"/>
  <c r="H537" i="8" s="1"/>
  <c r="F549" i="8"/>
  <c r="H549" i="8" s="1"/>
  <c r="F561" i="8"/>
  <c r="H561" i="8" s="1"/>
  <c r="F573" i="8"/>
  <c r="H573" i="8" s="1"/>
  <c r="F585" i="8"/>
  <c r="H585" i="8" s="1"/>
  <c r="F597" i="8"/>
  <c r="H597" i="8" s="1"/>
  <c r="F609" i="8"/>
  <c r="H609" i="8" s="1"/>
  <c r="F621" i="8"/>
  <c r="H621" i="8" s="1"/>
  <c r="F633" i="8"/>
  <c r="H633" i="8" s="1"/>
  <c r="F645" i="8"/>
  <c r="H645" i="8" s="1"/>
  <c r="F657" i="8"/>
  <c r="H657" i="8" s="1"/>
  <c r="F669" i="8"/>
  <c r="H669" i="8" s="1"/>
  <c r="F681" i="8"/>
  <c r="H681" i="8" s="1"/>
  <c r="F693" i="8"/>
  <c r="H693" i="8" s="1"/>
  <c r="F705" i="8"/>
  <c r="H705" i="8" s="1"/>
  <c r="F717" i="8"/>
  <c r="H717" i="8" s="1"/>
  <c r="F729" i="8"/>
  <c r="H729" i="8" s="1"/>
  <c r="F741" i="8"/>
  <c r="H741" i="8" s="1"/>
  <c r="F753" i="8"/>
  <c r="H753" i="8" s="1"/>
  <c r="F765" i="8"/>
  <c r="H765" i="8" s="1"/>
  <c r="F777" i="8"/>
  <c r="H777" i="8" s="1"/>
  <c r="F789" i="8"/>
  <c r="H789" i="8" s="1"/>
  <c r="F801" i="8"/>
  <c r="H801" i="8" s="1"/>
  <c r="F813" i="8"/>
  <c r="H813" i="8" s="1"/>
  <c r="F825" i="8"/>
  <c r="H825" i="8" s="1"/>
  <c r="F837" i="8"/>
  <c r="H837" i="8" s="1"/>
  <c r="F849" i="8"/>
  <c r="H849" i="8" s="1"/>
  <c r="F861" i="8"/>
  <c r="H861" i="8" s="1"/>
  <c r="F873" i="8"/>
  <c r="H873" i="8" s="1"/>
  <c r="F885" i="8"/>
  <c r="H885" i="8" s="1"/>
  <c r="F897" i="8"/>
  <c r="H897" i="8" s="1"/>
  <c r="F909" i="8"/>
  <c r="H909" i="8" s="1"/>
  <c r="F921" i="8"/>
  <c r="H921" i="8" s="1"/>
  <c r="F933" i="8"/>
  <c r="H933" i="8" s="1"/>
  <c r="F945" i="8"/>
  <c r="H945" i="8" s="1"/>
  <c r="F957" i="8"/>
  <c r="H957" i="8" s="1"/>
  <c r="F969" i="8"/>
  <c r="H969" i="8" s="1"/>
  <c r="F981" i="8"/>
  <c r="H981" i="8" s="1"/>
  <c r="F993" i="8"/>
  <c r="H993" i="8" s="1"/>
  <c r="F10" i="8"/>
  <c r="F22" i="8"/>
  <c r="F34" i="8"/>
  <c r="F46" i="8"/>
  <c r="F58" i="8"/>
  <c r="F70" i="8"/>
  <c r="F82" i="8"/>
  <c r="F94" i="8"/>
  <c r="F106" i="8"/>
  <c r="H106" i="8" s="1"/>
  <c r="F118" i="8"/>
  <c r="H118" i="8" s="1"/>
  <c r="F130" i="8"/>
  <c r="H130" i="8" s="1"/>
  <c r="F142" i="8"/>
  <c r="H142" i="8" s="1"/>
  <c r="F154" i="8"/>
  <c r="H154" i="8" s="1"/>
  <c r="F166" i="8"/>
  <c r="H166" i="8" s="1"/>
  <c r="F178" i="8"/>
  <c r="H178" i="8" s="1"/>
  <c r="F190" i="8"/>
  <c r="H190" i="8" s="1"/>
  <c r="F202" i="8"/>
  <c r="H202" i="8" s="1"/>
  <c r="F214" i="8"/>
  <c r="H214" i="8" s="1"/>
  <c r="F226" i="8"/>
  <c r="H226" i="8" s="1"/>
  <c r="F238" i="8"/>
  <c r="H238" i="8" s="1"/>
  <c r="F250" i="8"/>
  <c r="H250" i="8" s="1"/>
  <c r="F262" i="8"/>
  <c r="H262" i="8" s="1"/>
  <c r="F274" i="8"/>
  <c r="H274" i="8" s="1"/>
  <c r="F286" i="8"/>
  <c r="H286" i="8" s="1"/>
  <c r="F298" i="8"/>
  <c r="H298" i="8" s="1"/>
  <c r="F310" i="8"/>
  <c r="H310" i="8" s="1"/>
  <c r="F322" i="8"/>
  <c r="H322" i="8" s="1"/>
  <c r="F334" i="8"/>
  <c r="H334" i="8" s="1"/>
  <c r="F346" i="8"/>
  <c r="H346" i="8" s="1"/>
  <c r="F358" i="8"/>
  <c r="H358" i="8" s="1"/>
  <c r="F370" i="8"/>
  <c r="H370" i="8" s="1"/>
  <c r="F382" i="8"/>
  <c r="H382" i="8" s="1"/>
  <c r="F394" i="8"/>
  <c r="H394" i="8" s="1"/>
  <c r="F406" i="8"/>
  <c r="H406" i="8" s="1"/>
  <c r="F418" i="8"/>
  <c r="H418" i="8" s="1"/>
  <c r="F430" i="8"/>
  <c r="H430" i="8" s="1"/>
  <c r="F442" i="8"/>
  <c r="H442" i="8" s="1"/>
  <c r="F454" i="8"/>
  <c r="H454" i="8" s="1"/>
  <c r="F466" i="8"/>
  <c r="H466" i="8" s="1"/>
  <c r="F478" i="8"/>
  <c r="H478" i="8" s="1"/>
  <c r="F490" i="8"/>
  <c r="H490" i="8" s="1"/>
  <c r="F502" i="8"/>
  <c r="H502" i="8" s="1"/>
  <c r="F514" i="8"/>
  <c r="H514" i="8" s="1"/>
  <c r="F526" i="8"/>
  <c r="H526" i="8" s="1"/>
  <c r="F538" i="8"/>
  <c r="H538" i="8" s="1"/>
  <c r="F550" i="8"/>
  <c r="H550" i="8" s="1"/>
  <c r="F562" i="8"/>
  <c r="H562" i="8" s="1"/>
  <c r="F574" i="8"/>
  <c r="H574" i="8" s="1"/>
  <c r="F586" i="8"/>
  <c r="H586" i="8" s="1"/>
  <c r="F598" i="8"/>
  <c r="H598" i="8" s="1"/>
  <c r="F610" i="8"/>
  <c r="H610" i="8" s="1"/>
  <c r="F622" i="8"/>
  <c r="H622" i="8" s="1"/>
  <c r="F634" i="8"/>
  <c r="H634" i="8" s="1"/>
  <c r="F646" i="8"/>
  <c r="H646" i="8" s="1"/>
  <c r="F658" i="8"/>
  <c r="H658" i="8" s="1"/>
  <c r="F670" i="8"/>
  <c r="H670" i="8" s="1"/>
  <c r="F682" i="8"/>
  <c r="H682" i="8" s="1"/>
  <c r="F694" i="8"/>
  <c r="H694" i="8" s="1"/>
  <c r="F706" i="8"/>
  <c r="H706" i="8" s="1"/>
  <c r="F718" i="8"/>
  <c r="H718" i="8" s="1"/>
  <c r="F730" i="8"/>
  <c r="H730" i="8" s="1"/>
  <c r="F742" i="8"/>
  <c r="H742" i="8" s="1"/>
  <c r="F754" i="8"/>
  <c r="H754" i="8" s="1"/>
  <c r="F766" i="8"/>
  <c r="H766" i="8" s="1"/>
  <c r="F778" i="8"/>
  <c r="H778" i="8" s="1"/>
  <c r="F790" i="8"/>
  <c r="H790" i="8" s="1"/>
  <c r="F802" i="8"/>
  <c r="H802" i="8" s="1"/>
  <c r="F814" i="8"/>
  <c r="H814" i="8" s="1"/>
  <c r="F826" i="8"/>
  <c r="H826" i="8" s="1"/>
  <c r="F838" i="8"/>
  <c r="H838" i="8" s="1"/>
  <c r="F850" i="8"/>
  <c r="H850" i="8" s="1"/>
  <c r="F862" i="8"/>
  <c r="H862" i="8" s="1"/>
  <c r="F874" i="8"/>
  <c r="H874" i="8" s="1"/>
  <c r="F886" i="8"/>
  <c r="H886" i="8" s="1"/>
  <c r="F898" i="8"/>
  <c r="H898" i="8" s="1"/>
  <c r="F910" i="8"/>
  <c r="H910" i="8" s="1"/>
  <c r="F922" i="8"/>
  <c r="H922" i="8" s="1"/>
  <c r="F934" i="8"/>
  <c r="H934" i="8" s="1"/>
  <c r="F946" i="8"/>
  <c r="H946" i="8" s="1"/>
  <c r="F958" i="8"/>
  <c r="H958" i="8" s="1"/>
  <c r="F970" i="8"/>
  <c r="H970" i="8" s="1"/>
  <c r="F982" i="8"/>
  <c r="H982" i="8" s="1"/>
  <c r="F994" i="8"/>
  <c r="H994" i="8" s="1"/>
  <c r="F11" i="8"/>
  <c r="F23" i="8"/>
  <c r="F35" i="8"/>
  <c r="F47" i="8"/>
  <c r="F59" i="8"/>
  <c r="F71" i="8"/>
  <c r="F83" i="8"/>
  <c r="F95" i="8"/>
  <c r="F107" i="8"/>
  <c r="H107" i="8" s="1"/>
  <c r="F119" i="8"/>
  <c r="H119" i="8" s="1"/>
  <c r="F131" i="8"/>
  <c r="H131" i="8" s="1"/>
  <c r="F143" i="8"/>
  <c r="H143" i="8" s="1"/>
  <c r="F155" i="8"/>
  <c r="H155" i="8" s="1"/>
  <c r="F167" i="8"/>
  <c r="H167" i="8" s="1"/>
  <c r="F179" i="8"/>
  <c r="H179" i="8" s="1"/>
  <c r="F191" i="8"/>
  <c r="H191" i="8" s="1"/>
  <c r="F203" i="8"/>
  <c r="H203" i="8" s="1"/>
  <c r="F215" i="8"/>
  <c r="H215" i="8" s="1"/>
  <c r="F227" i="8"/>
  <c r="H227" i="8" s="1"/>
  <c r="F239" i="8"/>
  <c r="H239" i="8" s="1"/>
  <c r="F251" i="8"/>
  <c r="H251" i="8" s="1"/>
  <c r="F263" i="8"/>
  <c r="H263" i="8" s="1"/>
  <c r="F275" i="8"/>
  <c r="H275" i="8" s="1"/>
  <c r="F287" i="8"/>
  <c r="H287" i="8" s="1"/>
  <c r="F299" i="8"/>
  <c r="H299" i="8" s="1"/>
  <c r="F311" i="8"/>
  <c r="H311" i="8" s="1"/>
  <c r="F323" i="8"/>
  <c r="H323" i="8" s="1"/>
  <c r="F335" i="8"/>
  <c r="H335" i="8" s="1"/>
  <c r="F347" i="8"/>
  <c r="H347" i="8" s="1"/>
  <c r="F359" i="8"/>
  <c r="H359" i="8" s="1"/>
  <c r="F371" i="8"/>
  <c r="H371" i="8" s="1"/>
  <c r="F383" i="8"/>
  <c r="H383" i="8" s="1"/>
  <c r="F395" i="8"/>
  <c r="H395" i="8" s="1"/>
  <c r="F407" i="8"/>
  <c r="H407" i="8" s="1"/>
  <c r="F419" i="8"/>
  <c r="H419" i="8" s="1"/>
  <c r="F431" i="8"/>
  <c r="H431" i="8" s="1"/>
  <c r="F443" i="8"/>
  <c r="H443" i="8" s="1"/>
  <c r="F455" i="8"/>
  <c r="H455" i="8" s="1"/>
  <c r="F467" i="8"/>
  <c r="H467" i="8" s="1"/>
  <c r="F479" i="8"/>
  <c r="H479" i="8" s="1"/>
  <c r="F491" i="8"/>
  <c r="H491" i="8" s="1"/>
  <c r="F503" i="8"/>
  <c r="H503" i="8" s="1"/>
  <c r="F515" i="8"/>
  <c r="H515" i="8" s="1"/>
  <c r="F527" i="8"/>
  <c r="H527" i="8" s="1"/>
  <c r="F539" i="8"/>
  <c r="H539" i="8" s="1"/>
  <c r="F551" i="8"/>
  <c r="H551" i="8" s="1"/>
  <c r="F563" i="8"/>
  <c r="H563" i="8" s="1"/>
  <c r="F575" i="8"/>
  <c r="H575" i="8" s="1"/>
  <c r="F587" i="8"/>
  <c r="H587" i="8" s="1"/>
  <c r="F599" i="8"/>
  <c r="H599" i="8" s="1"/>
  <c r="F611" i="8"/>
  <c r="H611" i="8" s="1"/>
  <c r="F623" i="8"/>
  <c r="H623" i="8" s="1"/>
  <c r="F635" i="8"/>
  <c r="H635" i="8" s="1"/>
  <c r="F647" i="8"/>
  <c r="H647" i="8" s="1"/>
  <c r="F659" i="8"/>
  <c r="H659" i="8" s="1"/>
  <c r="F671" i="8"/>
  <c r="H671" i="8" s="1"/>
  <c r="F683" i="8"/>
  <c r="H683" i="8" s="1"/>
  <c r="F695" i="8"/>
  <c r="H695" i="8" s="1"/>
  <c r="F707" i="8"/>
  <c r="H707" i="8" s="1"/>
  <c r="F719" i="8"/>
  <c r="H719" i="8" s="1"/>
  <c r="F731" i="8"/>
  <c r="H731" i="8" s="1"/>
  <c r="F743" i="8"/>
  <c r="H743" i="8" s="1"/>
  <c r="F755" i="8"/>
  <c r="H755" i="8" s="1"/>
  <c r="F767" i="8"/>
  <c r="H767" i="8" s="1"/>
  <c r="F779" i="8"/>
  <c r="H779" i="8" s="1"/>
  <c r="F791" i="8"/>
  <c r="H791" i="8" s="1"/>
  <c r="F803" i="8"/>
  <c r="H803" i="8" s="1"/>
  <c r="F815" i="8"/>
  <c r="H815" i="8" s="1"/>
  <c r="F827" i="8"/>
  <c r="H827" i="8" s="1"/>
  <c r="F839" i="8"/>
  <c r="H839" i="8" s="1"/>
  <c r="F851" i="8"/>
  <c r="H851" i="8" s="1"/>
  <c r="F863" i="8"/>
  <c r="H863" i="8" s="1"/>
  <c r="F875" i="8"/>
  <c r="H875" i="8" s="1"/>
  <c r="F887" i="8"/>
  <c r="H887" i="8" s="1"/>
  <c r="F899" i="8"/>
  <c r="H899" i="8" s="1"/>
  <c r="F911" i="8"/>
  <c r="H911" i="8" s="1"/>
  <c r="F923" i="8"/>
  <c r="H923" i="8" s="1"/>
  <c r="F935" i="8"/>
  <c r="H935" i="8" s="1"/>
  <c r="F947" i="8"/>
  <c r="H947" i="8" s="1"/>
  <c r="F959" i="8"/>
  <c r="H959" i="8" s="1"/>
  <c r="F971" i="8"/>
  <c r="H971" i="8" s="1"/>
  <c r="F983" i="8"/>
  <c r="H983" i="8" s="1"/>
  <c r="F995" i="8"/>
  <c r="H995" i="8" s="1"/>
  <c r="F12" i="8"/>
  <c r="F24" i="8"/>
  <c r="F36" i="8"/>
  <c r="F48" i="8"/>
  <c r="F60" i="8"/>
  <c r="F72" i="8"/>
  <c r="F84" i="8"/>
  <c r="F96" i="8"/>
  <c r="F108" i="8"/>
  <c r="H108" i="8" s="1"/>
  <c r="F120" i="8"/>
  <c r="H120" i="8" s="1"/>
  <c r="F132" i="8"/>
  <c r="H132" i="8" s="1"/>
  <c r="F144" i="8"/>
  <c r="H144" i="8" s="1"/>
  <c r="F156" i="8"/>
  <c r="H156" i="8" s="1"/>
  <c r="F168" i="8"/>
  <c r="H168" i="8" s="1"/>
  <c r="F180" i="8"/>
  <c r="H180" i="8" s="1"/>
  <c r="F192" i="8"/>
  <c r="H192" i="8" s="1"/>
  <c r="F204" i="8"/>
  <c r="H204" i="8" s="1"/>
  <c r="F216" i="8"/>
  <c r="H216" i="8" s="1"/>
  <c r="F228" i="8"/>
  <c r="H228" i="8" s="1"/>
  <c r="F240" i="8"/>
  <c r="H240" i="8" s="1"/>
  <c r="F252" i="8"/>
  <c r="H252" i="8" s="1"/>
  <c r="F264" i="8"/>
  <c r="H264" i="8" s="1"/>
  <c r="F276" i="8"/>
  <c r="H276" i="8" s="1"/>
  <c r="F288" i="8"/>
  <c r="H288" i="8" s="1"/>
  <c r="F300" i="8"/>
  <c r="H300" i="8" s="1"/>
  <c r="F312" i="8"/>
  <c r="H312" i="8" s="1"/>
  <c r="F324" i="8"/>
  <c r="H324" i="8" s="1"/>
  <c r="F336" i="8"/>
  <c r="H336" i="8" s="1"/>
  <c r="F348" i="8"/>
  <c r="H348" i="8" s="1"/>
  <c r="F360" i="8"/>
  <c r="H360" i="8" s="1"/>
  <c r="F372" i="8"/>
  <c r="H372" i="8" s="1"/>
  <c r="F384" i="8"/>
  <c r="H384" i="8" s="1"/>
  <c r="F396" i="8"/>
  <c r="H396" i="8" s="1"/>
  <c r="F408" i="8"/>
  <c r="H408" i="8" s="1"/>
  <c r="F420" i="8"/>
  <c r="H420" i="8" s="1"/>
  <c r="F432" i="8"/>
  <c r="H432" i="8" s="1"/>
  <c r="F444" i="8"/>
  <c r="H444" i="8" s="1"/>
  <c r="F456" i="8"/>
  <c r="H456" i="8" s="1"/>
  <c r="F468" i="8"/>
  <c r="H468" i="8" s="1"/>
  <c r="F480" i="8"/>
  <c r="H480" i="8" s="1"/>
  <c r="F492" i="8"/>
  <c r="H492" i="8" s="1"/>
  <c r="F504" i="8"/>
  <c r="H504" i="8" s="1"/>
  <c r="F516" i="8"/>
  <c r="H516" i="8" s="1"/>
  <c r="F528" i="8"/>
  <c r="H528" i="8" s="1"/>
  <c r="F540" i="8"/>
  <c r="H540" i="8" s="1"/>
  <c r="F552" i="8"/>
  <c r="H552" i="8" s="1"/>
  <c r="F564" i="8"/>
  <c r="H564" i="8" s="1"/>
  <c r="F576" i="8"/>
  <c r="H576" i="8" s="1"/>
  <c r="F588" i="8"/>
  <c r="H588" i="8" s="1"/>
  <c r="F600" i="8"/>
  <c r="H600" i="8" s="1"/>
  <c r="F612" i="8"/>
  <c r="H612" i="8" s="1"/>
  <c r="F624" i="8"/>
  <c r="H624" i="8" s="1"/>
  <c r="F636" i="8"/>
  <c r="H636" i="8" s="1"/>
  <c r="F648" i="8"/>
  <c r="H648" i="8" s="1"/>
  <c r="F660" i="8"/>
  <c r="H660" i="8" s="1"/>
  <c r="F672" i="8"/>
  <c r="H672" i="8" s="1"/>
  <c r="F684" i="8"/>
  <c r="H684" i="8" s="1"/>
  <c r="F696" i="8"/>
  <c r="H696" i="8" s="1"/>
  <c r="F708" i="8"/>
  <c r="H708" i="8" s="1"/>
  <c r="F720" i="8"/>
  <c r="H720" i="8" s="1"/>
  <c r="F732" i="8"/>
  <c r="H732" i="8" s="1"/>
  <c r="F744" i="8"/>
  <c r="H744" i="8" s="1"/>
  <c r="F756" i="8"/>
  <c r="H756" i="8" s="1"/>
  <c r="F768" i="8"/>
  <c r="H768" i="8" s="1"/>
  <c r="F780" i="8"/>
  <c r="H780" i="8" s="1"/>
  <c r="F792" i="8"/>
  <c r="H792" i="8" s="1"/>
  <c r="F804" i="8"/>
  <c r="H804" i="8" s="1"/>
  <c r="F816" i="8"/>
  <c r="H816" i="8" s="1"/>
  <c r="F828" i="8"/>
  <c r="H828" i="8" s="1"/>
  <c r="F840" i="8"/>
  <c r="H840" i="8" s="1"/>
  <c r="F852" i="8"/>
  <c r="H852" i="8" s="1"/>
  <c r="F864" i="8"/>
  <c r="H864" i="8" s="1"/>
  <c r="F876" i="8"/>
  <c r="H876" i="8" s="1"/>
  <c r="F888" i="8"/>
  <c r="H888" i="8" s="1"/>
  <c r="F900" i="8"/>
  <c r="H900" i="8" s="1"/>
  <c r="F912" i="8"/>
  <c r="H912" i="8" s="1"/>
  <c r="F924" i="8"/>
  <c r="H924" i="8" s="1"/>
  <c r="F936" i="8"/>
  <c r="H936" i="8" s="1"/>
  <c r="F948" i="8"/>
  <c r="H948" i="8" s="1"/>
  <c r="F960" i="8"/>
  <c r="H960" i="8" s="1"/>
  <c r="F972" i="8"/>
  <c r="H972" i="8" s="1"/>
  <c r="F984" i="8"/>
  <c r="H984" i="8" s="1"/>
  <c r="F996" i="8"/>
  <c r="H996" i="8" s="1"/>
  <c r="F13" i="8"/>
  <c r="F25" i="8"/>
  <c r="F37" i="8"/>
  <c r="F49" i="8"/>
  <c r="F61" i="8"/>
  <c r="F73" i="8"/>
  <c r="F85" i="8"/>
  <c r="F97" i="8"/>
  <c r="F109" i="8"/>
  <c r="H109" i="8" s="1"/>
  <c r="F121" i="8"/>
  <c r="H121" i="8" s="1"/>
  <c r="F133" i="8"/>
  <c r="H133" i="8" s="1"/>
  <c r="F145" i="8"/>
  <c r="H145" i="8" s="1"/>
  <c r="F157" i="8"/>
  <c r="H157" i="8" s="1"/>
  <c r="F169" i="8"/>
  <c r="H169" i="8" s="1"/>
  <c r="F181" i="8"/>
  <c r="H181" i="8" s="1"/>
  <c r="F193" i="8"/>
  <c r="H193" i="8" s="1"/>
  <c r="F205" i="8"/>
  <c r="H205" i="8" s="1"/>
  <c r="F217" i="8"/>
  <c r="H217" i="8" s="1"/>
  <c r="F229" i="8"/>
  <c r="H229" i="8" s="1"/>
  <c r="F241" i="8"/>
  <c r="H241" i="8" s="1"/>
  <c r="F253" i="8"/>
  <c r="H253" i="8" s="1"/>
  <c r="F265" i="8"/>
  <c r="H265" i="8" s="1"/>
  <c r="F277" i="8"/>
  <c r="H277" i="8" s="1"/>
  <c r="F289" i="8"/>
  <c r="H289" i="8" s="1"/>
  <c r="F301" i="8"/>
  <c r="H301" i="8" s="1"/>
  <c r="F313" i="8"/>
  <c r="H313" i="8" s="1"/>
  <c r="F325" i="8"/>
  <c r="H325" i="8" s="1"/>
  <c r="F337" i="8"/>
  <c r="H337" i="8" s="1"/>
  <c r="F349" i="8"/>
  <c r="H349" i="8" s="1"/>
  <c r="F361" i="8"/>
  <c r="H361" i="8" s="1"/>
  <c r="F373" i="8"/>
  <c r="H373" i="8" s="1"/>
  <c r="F385" i="8"/>
  <c r="H385" i="8" s="1"/>
  <c r="F397" i="8"/>
  <c r="H397" i="8" s="1"/>
  <c r="F409" i="8"/>
  <c r="H409" i="8" s="1"/>
  <c r="F421" i="8"/>
  <c r="H421" i="8" s="1"/>
  <c r="F433" i="8"/>
  <c r="H433" i="8" s="1"/>
  <c r="F445" i="8"/>
  <c r="H445" i="8" s="1"/>
  <c r="F457" i="8"/>
  <c r="H457" i="8" s="1"/>
  <c r="F469" i="8"/>
  <c r="H469" i="8" s="1"/>
  <c r="F481" i="8"/>
  <c r="H481" i="8" s="1"/>
  <c r="F493" i="8"/>
  <c r="H493" i="8" s="1"/>
  <c r="F505" i="8"/>
  <c r="H505" i="8" s="1"/>
  <c r="F517" i="8"/>
  <c r="H517" i="8" s="1"/>
  <c r="F529" i="8"/>
  <c r="H529" i="8" s="1"/>
  <c r="F541" i="8"/>
  <c r="H541" i="8" s="1"/>
  <c r="F553" i="8"/>
  <c r="H553" i="8" s="1"/>
  <c r="F565" i="8"/>
  <c r="H565" i="8" s="1"/>
  <c r="F577" i="8"/>
  <c r="H577" i="8" s="1"/>
  <c r="F589" i="8"/>
  <c r="H589" i="8" s="1"/>
  <c r="F601" i="8"/>
  <c r="H601" i="8" s="1"/>
  <c r="F613" i="8"/>
  <c r="H613" i="8" s="1"/>
  <c r="F625" i="8"/>
  <c r="H625" i="8" s="1"/>
  <c r="F637" i="8"/>
  <c r="H637" i="8" s="1"/>
  <c r="F649" i="8"/>
  <c r="H649" i="8" s="1"/>
  <c r="F661" i="8"/>
  <c r="H661" i="8" s="1"/>
  <c r="F673" i="8"/>
  <c r="H673" i="8" s="1"/>
  <c r="F685" i="8"/>
  <c r="H685" i="8" s="1"/>
  <c r="F697" i="8"/>
  <c r="H697" i="8" s="1"/>
  <c r="F709" i="8"/>
  <c r="H709" i="8" s="1"/>
  <c r="F721" i="8"/>
  <c r="H721" i="8" s="1"/>
  <c r="F733" i="8"/>
  <c r="H733" i="8" s="1"/>
  <c r="F745" i="8"/>
  <c r="H745" i="8" s="1"/>
  <c r="F757" i="8"/>
  <c r="H757" i="8" s="1"/>
  <c r="F769" i="8"/>
  <c r="H769" i="8" s="1"/>
  <c r="F781" i="8"/>
  <c r="H781" i="8" s="1"/>
  <c r="F793" i="8"/>
  <c r="H793" i="8" s="1"/>
  <c r="F805" i="8"/>
  <c r="H805" i="8" s="1"/>
  <c r="F817" i="8"/>
  <c r="H817" i="8" s="1"/>
  <c r="F829" i="8"/>
  <c r="H829" i="8" s="1"/>
  <c r="F841" i="8"/>
  <c r="H841" i="8" s="1"/>
  <c r="F853" i="8"/>
  <c r="H853" i="8" s="1"/>
  <c r="F865" i="8"/>
  <c r="H865" i="8" s="1"/>
  <c r="F877" i="8"/>
  <c r="H877" i="8" s="1"/>
  <c r="F889" i="8"/>
  <c r="H889" i="8" s="1"/>
  <c r="F901" i="8"/>
  <c r="H901" i="8" s="1"/>
  <c r="F913" i="8"/>
  <c r="H913" i="8" s="1"/>
  <c r="F925" i="8"/>
  <c r="H925" i="8" s="1"/>
  <c r="F937" i="8"/>
  <c r="H937" i="8" s="1"/>
  <c r="F949" i="8"/>
  <c r="H949" i="8" s="1"/>
  <c r="F961" i="8"/>
  <c r="H961" i="8" s="1"/>
  <c r="F973" i="8"/>
  <c r="H973" i="8" s="1"/>
  <c r="F985" i="8"/>
  <c r="H985" i="8" s="1"/>
  <c r="F997" i="8"/>
  <c r="H997" i="8" s="1"/>
  <c r="F14" i="8"/>
  <c r="F26" i="8"/>
  <c r="F38" i="8"/>
  <c r="F50" i="8"/>
  <c r="F62" i="8"/>
  <c r="F74" i="8"/>
  <c r="F86" i="8"/>
  <c r="F98" i="8"/>
  <c r="F110" i="8"/>
  <c r="H110" i="8" s="1"/>
  <c r="F122" i="8"/>
  <c r="H122" i="8" s="1"/>
  <c r="F134" i="8"/>
  <c r="H134" i="8" s="1"/>
  <c r="F146" i="8"/>
  <c r="H146" i="8" s="1"/>
  <c r="F158" i="8"/>
  <c r="H158" i="8" s="1"/>
  <c r="F170" i="8"/>
  <c r="H170" i="8" s="1"/>
  <c r="F182" i="8"/>
  <c r="H182" i="8" s="1"/>
  <c r="F194" i="8"/>
  <c r="H194" i="8" s="1"/>
  <c r="F206" i="8"/>
  <c r="H206" i="8" s="1"/>
  <c r="F218" i="8"/>
  <c r="H218" i="8" s="1"/>
  <c r="F230" i="8"/>
  <c r="H230" i="8" s="1"/>
  <c r="F242" i="8"/>
  <c r="H242" i="8" s="1"/>
  <c r="F254" i="8"/>
  <c r="H254" i="8" s="1"/>
  <c r="F266" i="8"/>
  <c r="H266" i="8" s="1"/>
  <c r="F278" i="8"/>
  <c r="H278" i="8" s="1"/>
  <c r="F290" i="8"/>
  <c r="H290" i="8" s="1"/>
  <c r="F302" i="8"/>
  <c r="H302" i="8" s="1"/>
  <c r="F314" i="8"/>
  <c r="H314" i="8" s="1"/>
  <c r="F326" i="8"/>
  <c r="H326" i="8" s="1"/>
  <c r="F338" i="8"/>
  <c r="H338" i="8" s="1"/>
  <c r="F350" i="8"/>
  <c r="H350" i="8" s="1"/>
  <c r="F362" i="8"/>
  <c r="H362" i="8" s="1"/>
  <c r="F374" i="8"/>
  <c r="H374" i="8" s="1"/>
  <c r="F386" i="8"/>
  <c r="H386" i="8" s="1"/>
  <c r="F398" i="8"/>
  <c r="H398" i="8" s="1"/>
  <c r="F410" i="8"/>
  <c r="H410" i="8" s="1"/>
  <c r="F422" i="8"/>
  <c r="H422" i="8" s="1"/>
  <c r="F434" i="8"/>
  <c r="H434" i="8" s="1"/>
  <c r="F446" i="8"/>
  <c r="H446" i="8" s="1"/>
  <c r="F458" i="8"/>
  <c r="H458" i="8" s="1"/>
  <c r="F470" i="8"/>
  <c r="H470" i="8" s="1"/>
  <c r="F482" i="8"/>
  <c r="H482" i="8" s="1"/>
  <c r="F494" i="8"/>
  <c r="H494" i="8" s="1"/>
  <c r="F506" i="8"/>
  <c r="H506" i="8" s="1"/>
  <c r="F518" i="8"/>
  <c r="H518" i="8" s="1"/>
  <c r="F530" i="8"/>
  <c r="H530" i="8" s="1"/>
  <c r="F542" i="8"/>
  <c r="H542" i="8" s="1"/>
  <c r="F554" i="8"/>
  <c r="H554" i="8" s="1"/>
  <c r="F566" i="8"/>
  <c r="H566" i="8" s="1"/>
  <c r="F578" i="8"/>
  <c r="H578" i="8" s="1"/>
  <c r="F590" i="8"/>
  <c r="H590" i="8" s="1"/>
  <c r="F602" i="8"/>
  <c r="H602" i="8" s="1"/>
  <c r="F614" i="8"/>
  <c r="H614" i="8" s="1"/>
  <c r="F626" i="8"/>
  <c r="H626" i="8" s="1"/>
  <c r="F638" i="8"/>
  <c r="H638" i="8" s="1"/>
  <c r="F650" i="8"/>
  <c r="H650" i="8" s="1"/>
  <c r="F662" i="8"/>
  <c r="H662" i="8" s="1"/>
  <c r="F674" i="8"/>
  <c r="H674" i="8" s="1"/>
  <c r="F686" i="8"/>
  <c r="H686" i="8" s="1"/>
  <c r="F698" i="8"/>
  <c r="H698" i="8" s="1"/>
  <c r="F710" i="8"/>
  <c r="H710" i="8" s="1"/>
  <c r="F722" i="8"/>
  <c r="H722" i="8" s="1"/>
  <c r="F734" i="8"/>
  <c r="H734" i="8" s="1"/>
  <c r="F746" i="8"/>
  <c r="H746" i="8" s="1"/>
  <c r="F758" i="8"/>
  <c r="H758" i="8" s="1"/>
  <c r="F770" i="8"/>
  <c r="H770" i="8" s="1"/>
  <c r="F782" i="8"/>
  <c r="H782" i="8" s="1"/>
  <c r="F794" i="8"/>
  <c r="H794" i="8" s="1"/>
  <c r="F806" i="8"/>
  <c r="H806" i="8" s="1"/>
  <c r="F818" i="8"/>
  <c r="H818" i="8" s="1"/>
  <c r="F830" i="8"/>
  <c r="H830" i="8" s="1"/>
  <c r="F842" i="8"/>
  <c r="H842" i="8" s="1"/>
  <c r="F854" i="8"/>
  <c r="H854" i="8" s="1"/>
  <c r="F866" i="8"/>
  <c r="H866" i="8" s="1"/>
  <c r="F878" i="8"/>
  <c r="H878" i="8" s="1"/>
  <c r="F890" i="8"/>
  <c r="H890" i="8" s="1"/>
  <c r="F902" i="8"/>
  <c r="H902" i="8" s="1"/>
  <c r="F914" i="8"/>
  <c r="H914" i="8" s="1"/>
  <c r="F926" i="8"/>
  <c r="H926" i="8" s="1"/>
  <c r="F938" i="8"/>
  <c r="H938" i="8" s="1"/>
  <c r="F950" i="8"/>
  <c r="H950" i="8" s="1"/>
  <c r="F962" i="8"/>
  <c r="H962" i="8" s="1"/>
  <c r="F974" i="8"/>
  <c r="H974" i="8" s="1"/>
  <c r="F986" i="8"/>
  <c r="H986" i="8" s="1"/>
  <c r="F998" i="8"/>
  <c r="H998" i="8" s="1"/>
  <c r="C6" i="6"/>
  <c r="D6" i="6"/>
  <c r="I793" i="8" l="1"/>
  <c r="I348" i="8"/>
  <c r="I741" i="8"/>
  <c r="I440" i="8"/>
  <c r="I715" i="8"/>
  <c r="I427" i="8"/>
  <c r="I714" i="8"/>
  <c r="I282" i="8"/>
  <c r="I281" i="8"/>
  <c r="I712" i="8"/>
  <c r="I424" i="8"/>
  <c r="I999" i="8"/>
  <c r="I135" i="8"/>
  <c r="I938" i="8"/>
  <c r="I794" i="8"/>
  <c r="I650" i="8"/>
  <c r="I506" i="8"/>
  <c r="I362" i="8"/>
  <c r="I218" i="8"/>
  <c r="I925" i="8"/>
  <c r="I781" i="8"/>
  <c r="I637" i="8"/>
  <c r="I493" i="8"/>
  <c r="I349" i="8"/>
  <c r="I205" i="8"/>
  <c r="I912" i="8"/>
  <c r="I768" i="8"/>
  <c r="I624" i="8"/>
  <c r="I480" i="8"/>
  <c r="I336" i="8"/>
  <c r="I192" i="8"/>
  <c r="I899" i="8"/>
  <c r="I755" i="8"/>
  <c r="I611" i="8"/>
  <c r="I467" i="8"/>
  <c r="I323" i="8"/>
  <c r="I179" i="8"/>
  <c r="I886" i="8"/>
  <c r="I742" i="8"/>
  <c r="I598" i="8"/>
  <c r="I454" i="8"/>
  <c r="I310" i="8"/>
  <c r="I166" i="8"/>
  <c r="I873" i="8"/>
  <c r="I729" i="8"/>
  <c r="I585" i="8"/>
  <c r="I441" i="8"/>
  <c r="I297" i="8"/>
  <c r="I153" i="8"/>
  <c r="I860" i="8"/>
  <c r="I716" i="8"/>
  <c r="I572" i="8"/>
  <c r="I428" i="8"/>
  <c r="I284" i="8"/>
  <c r="I140" i="8"/>
  <c r="I991" i="8"/>
  <c r="I847" i="8"/>
  <c r="I703" i="8"/>
  <c r="I559" i="8"/>
  <c r="I415" i="8"/>
  <c r="I271" i="8"/>
  <c r="I127" i="8"/>
  <c r="I990" i="8"/>
  <c r="I846" i="8"/>
  <c r="I702" i="8"/>
  <c r="I558" i="8"/>
  <c r="I414" i="8"/>
  <c r="I270" i="8"/>
  <c r="I126" i="8"/>
  <c r="I989" i="8"/>
  <c r="I845" i="8"/>
  <c r="I701" i="8"/>
  <c r="I557" i="8"/>
  <c r="I413" i="8"/>
  <c r="I269" i="8"/>
  <c r="I125" i="8"/>
  <c r="I988" i="8"/>
  <c r="I844" i="8"/>
  <c r="I700" i="8"/>
  <c r="I556" i="8"/>
  <c r="I412" i="8"/>
  <c r="I268" i="8"/>
  <c r="I124" i="8"/>
  <c r="I987" i="8"/>
  <c r="I843" i="8"/>
  <c r="I699" i="8"/>
  <c r="I555" i="8"/>
  <c r="I411" i="8"/>
  <c r="I267" i="8"/>
  <c r="I123" i="8"/>
  <c r="I230" i="8"/>
  <c r="I924" i="8"/>
  <c r="I335" i="8"/>
  <c r="I885" i="8"/>
  <c r="I728" i="8"/>
  <c r="I571" i="8"/>
  <c r="I858" i="8"/>
  <c r="I426" i="8"/>
  <c r="I857" i="8"/>
  <c r="I856" i="8"/>
  <c r="I568" i="8"/>
  <c r="I280" i="8"/>
  <c r="I136" i="8"/>
  <c r="I279" i="8"/>
  <c r="I926" i="8"/>
  <c r="I782" i="8"/>
  <c r="I638" i="8"/>
  <c r="I494" i="8"/>
  <c r="I350" i="8"/>
  <c r="I206" i="8"/>
  <c r="I913" i="8"/>
  <c r="I769" i="8"/>
  <c r="I625" i="8"/>
  <c r="I481" i="8"/>
  <c r="I337" i="8"/>
  <c r="I193" i="8"/>
  <c r="I900" i="8"/>
  <c r="I756" i="8"/>
  <c r="I612" i="8"/>
  <c r="I468" i="8"/>
  <c r="I324" i="8"/>
  <c r="I180" i="8"/>
  <c r="I887" i="8"/>
  <c r="I743" i="8"/>
  <c r="I599" i="8"/>
  <c r="I455" i="8"/>
  <c r="I311" i="8"/>
  <c r="I167" i="8"/>
  <c r="I874" i="8"/>
  <c r="I730" i="8"/>
  <c r="I586" i="8"/>
  <c r="I442" i="8"/>
  <c r="I298" i="8"/>
  <c r="I154" i="8"/>
  <c r="I861" i="8"/>
  <c r="I717" i="8"/>
  <c r="I573" i="8"/>
  <c r="I429" i="8"/>
  <c r="I285" i="8"/>
  <c r="I141" i="8"/>
  <c r="I992" i="8"/>
  <c r="I848" i="8"/>
  <c r="I704" i="8"/>
  <c r="I560" i="8"/>
  <c r="I416" i="8"/>
  <c r="I272" i="8"/>
  <c r="I128" i="8"/>
  <c r="I979" i="8"/>
  <c r="I835" i="8"/>
  <c r="I691" i="8"/>
  <c r="I547" i="8"/>
  <c r="I403" i="8"/>
  <c r="I259" i="8"/>
  <c r="I115" i="8"/>
  <c r="I978" i="8"/>
  <c r="I834" i="8"/>
  <c r="I690" i="8"/>
  <c r="I546" i="8"/>
  <c r="I402" i="8"/>
  <c r="I258" i="8"/>
  <c r="I114" i="8"/>
  <c r="I977" i="8"/>
  <c r="I833" i="8"/>
  <c r="I689" i="8"/>
  <c r="I545" i="8"/>
  <c r="I401" i="8"/>
  <c r="I257" i="8"/>
  <c r="I113" i="8"/>
  <c r="I976" i="8"/>
  <c r="I832" i="8"/>
  <c r="I688" i="8"/>
  <c r="I544" i="8"/>
  <c r="I400" i="8"/>
  <c r="I256" i="8"/>
  <c r="I112" i="8"/>
  <c r="I975" i="8"/>
  <c r="I831" i="8"/>
  <c r="I687" i="8"/>
  <c r="I543" i="8"/>
  <c r="I399" i="8"/>
  <c r="I255" i="8"/>
  <c r="I111" i="8"/>
  <c r="I950" i="8"/>
  <c r="I361" i="8"/>
  <c r="I767" i="8"/>
  <c r="I610" i="8"/>
  <c r="I453" i="8"/>
  <c r="I296" i="8"/>
  <c r="I283" i="8"/>
  <c r="I138" i="8"/>
  <c r="I711" i="8"/>
  <c r="I770" i="8"/>
  <c r="I338" i="8"/>
  <c r="I613" i="8"/>
  <c r="I325" i="8"/>
  <c r="I744" i="8"/>
  <c r="I456" i="8"/>
  <c r="I168" i="8"/>
  <c r="I875" i="8"/>
  <c r="I731" i="8"/>
  <c r="I443" i="8"/>
  <c r="I299" i="8"/>
  <c r="I155" i="8"/>
  <c r="I862" i="8"/>
  <c r="I718" i="8"/>
  <c r="I574" i="8"/>
  <c r="I430" i="8"/>
  <c r="I286" i="8"/>
  <c r="I142" i="8"/>
  <c r="I993" i="8"/>
  <c r="I849" i="8"/>
  <c r="I705" i="8"/>
  <c r="I561" i="8"/>
  <c r="I417" i="8"/>
  <c r="I273" i="8"/>
  <c r="I129" i="8"/>
  <c r="I980" i="8"/>
  <c r="I836" i="8"/>
  <c r="I692" i="8"/>
  <c r="I548" i="8"/>
  <c r="I404" i="8"/>
  <c r="I260" i="8"/>
  <c r="I116" i="8"/>
  <c r="I967" i="8"/>
  <c r="I823" i="8"/>
  <c r="I679" i="8"/>
  <c r="I535" i="8"/>
  <c r="I391" i="8"/>
  <c r="I247" i="8"/>
  <c r="I103" i="8"/>
  <c r="I966" i="8"/>
  <c r="I822" i="8"/>
  <c r="I678" i="8"/>
  <c r="I534" i="8"/>
  <c r="I390" i="8"/>
  <c r="I246" i="8"/>
  <c r="I965" i="8"/>
  <c r="I821" i="8"/>
  <c r="I677" i="8"/>
  <c r="I533" i="8"/>
  <c r="I389" i="8"/>
  <c r="I245" i="8"/>
  <c r="I964" i="8"/>
  <c r="I820" i="8"/>
  <c r="I676" i="8"/>
  <c r="I532" i="8"/>
  <c r="I388" i="8"/>
  <c r="I244" i="8"/>
  <c r="I963" i="8"/>
  <c r="I819" i="8"/>
  <c r="I675" i="8"/>
  <c r="I531" i="8"/>
  <c r="I387" i="8"/>
  <c r="I243" i="8"/>
  <c r="I806" i="8"/>
  <c r="I217" i="8"/>
  <c r="I623" i="8"/>
  <c r="I178" i="8"/>
  <c r="I872" i="8"/>
  <c r="I859" i="8"/>
  <c r="I139" i="8"/>
  <c r="I1001" i="8"/>
  <c r="I423" i="8"/>
  <c r="I482" i="8"/>
  <c r="I901" i="8"/>
  <c r="I469" i="8"/>
  <c r="I181" i="8"/>
  <c r="I888" i="8"/>
  <c r="I600" i="8"/>
  <c r="I312" i="8"/>
  <c r="I587" i="8"/>
  <c r="I902" i="8"/>
  <c r="I758" i="8"/>
  <c r="I614" i="8"/>
  <c r="I470" i="8"/>
  <c r="I326" i="8"/>
  <c r="I182" i="8"/>
  <c r="I889" i="8"/>
  <c r="I745" i="8"/>
  <c r="I601" i="8"/>
  <c r="I457" i="8"/>
  <c r="I313" i="8"/>
  <c r="I169" i="8"/>
  <c r="I876" i="8"/>
  <c r="I732" i="8"/>
  <c r="I588" i="8"/>
  <c r="I444" i="8"/>
  <c r="I300" i="8"/>
  <c r="I156" i="8"/>
  <c r="I863" i="8"/>
  <c r="I719" i="8"/>
  <c r="I575" i="8"/>
  <c r="I431" i="8"/>
  <c r="I287" i="8"/>
  <c r="I143" i="8"/>
  <c r="I994" i="8"/>
  <c r="I850" i="8"/>
  <c r="I706" i="8"/>
  <c r="I562" i="8"/>
  <c r="I418" i="8"/>
  <c r="I274" i="8"/>
  <c r="I130" i="8"/>
  <c r="I981" i="8"/>
  <c r="I837" i="8"/>
  <c r="I693" i="8"/>
  <c r="I549" i="8"/>
  <c r="I405" i="8"/>
  <c r="I261" i="8"/>
  <c r="I117" i="8"/>
  <c r="I968" i="8"/>
  <c r="I824" i="8"/>
  <c r="I680" i="8"/>
  <c r="I536" i="8"/>
  <c r="I392" i="8"/>
  <c r="I248" i="8"/>
  <c r="I104" i="8"/>
  <c r="I955" i="8"/>
  <c r="I811" i="8"/>
  <c r="I667" i="8"/>
  <c r="I523" i="8"/>
  <c r="I379" i="8"/>
  <c r="I235" i="8"/>
  <c r="I954" i="8"/>
  <c r="I810" i="8"/>
  <c r="I666" i="8"/>
  <c r="I522" i="8"/>
  <c r="I378" i="8"/>
  <c r="I234" i="8"/>
  <c r="I953" i="8"/>
  <c r="I809" i="8"/>
  <c r="I665" i="8"/>
  <c r="I521" i="8"/>
  <c r="I377" i="8"/>
  <c r="I233" i="8"/>
  <c r="I952" i="8"/>
  <c r="I808" i="8"/>
  <c r="I664" i="8"/>
  <c r="I520" i="8"/>
  <c r="I376" i="8"/>
  <c r="I232" i="8"/>
  <c r="I951" i="8"/>
  <c r="I807" i="8"/>
  <c r="I663" i="8"/>
  <c r="I519" i="8"/>
  <c r="I375" i="8"/>
  <c r="I231" i="8"/>
  <c r="I649" i="8"/>
  <c r="I204" i="8"/>
  <c r="I898" i="8"/>
  <c r="I597" i="8"/>
  <c r="I152" i="8"/>
  <c r="I570" i="8"/>
  <c r="I567" i="8"/>
  <c r="I626" i="8"/>
  <c r="I757" i="8"/>
  <c r="I746" i="8"/>
  <c r="I602" i="8"/>
  <c r="I314" i="8"/>
  <c r="I170" i="8"/>
  <c r="I877" i="8"/>
  <c r="I733" i="8"/>
  <c r="I589" i="8"/>
  <c r="I445" i="8"/>
  <c r="I301" i="8"/>
  <c r="I157" i="8"/>
  <c r="I864" i="8"/>
  <c r="I720" i="8"/>
  <c r="I576" i="8"/>
  <c r="I432" i="8"/>
  <c r="I288" i="8"/>
  <c r="I144" i="8"/>
  <c r="I995" i="8"/>
  <c r="I851" i="8"/>
  <c r="I707" i="8"/>
  <c r="I563" i="8"/>
  <c r="I419" i="8"/>
  <c r="I275" i="8"/>
  <c r="I131" i="8"/>
  <c r="I982" i="8"/>
  <c r="I838" i="8"/>
  <c r="I694" i="8"/>
  <c r="I550" i="8"/>
  <c r="I406" i="8"/>
  <c r="I262" i="8"/>
  <c r="I118" i="8"/>
  <c r="I969" i="8"/>
  <c r="I825" i="8"/>
  <c r="I681" i="8"/>
  <c r="I537" i="8"/>
  <c r="I393" i="8"/>
  <c r="I249" i="8"/>
  <c r="I105" i="8"/>
  <c r="I956" i="8"/>
  <c r="I812" i="8"/>
  <c r="I668" i="8"/>
  <c r="I524" i="8"/>
  <c r="I380" i="8"/>
  <c r="I236" i="8"/>
  <c r="I943" i="8"/>
  <c r="I799" i="8"/>
  <c r="I655" i="8"/>
  <c r="I511" i="8"/>
  <c r="I367" i="8"/>
  <c r="I223" i="8"/>
  <c r="I942" i="8"/>
  <c r="I798" i="8"/>
  <c r="I654" i="8"/>
  <c r="I510" i="8"/>
  <c r="I366" i="8"/>
  <c r="I222" i="8"/>
  <c r="I941" i="8"/>
  <c r="I797" i="8"/>
  <c r="I653" i="8"/>
  <c r="I509" i="8"/>
  <c r="I365" i="8"/>
  <c r="I221" i="8"/>
  <c r="I940" i="8"/>
  <c r="I796" i="8"/>
  <c r="I652" i="8"/>
  <c r="I508" i="8"/>
  <c r="I364" i="8"/>
  <c r="I220" i="8"/>
  <c r="I939" i="8"/>
  <c r="I795" i="8"/>
  <c r="I651" i="8"/>
  <c r="I507" i="8"/>
  <c r="I363" i="8"/>
  <c r="I219" i="8"/>
  <c r="I518" i="8"/>
  <c r="I636" i="8"/>
  <c r="I466" i="8"/>
  <c r="I584" i="8"/>
  <c r="I1002" i="8"/>
  <c r="I855" i="8"/>
  <c r="I914" i="8"/>
  <c r="I194" i="8"/>
  <c r="I890" i="8"/>
  <c r="I458" i="8"/>
  <c r="I878" i="8"/>
  <c r="I734" i="8"/>
  <c r="I590" i="8"/>
  <c r="I446" i="8"/>
  <c r="I302" i="8"/>
  <c r="I158" i="8"/>
  <c r="I865" i="8"/>
  <c r="I721" i="8"/>
  <c r="I577" i="8"/>
  <c r="I433" i="8"/>
  <c r="I289" i="8"/>
  <c r="I145" i="8"/>
  <c r="I996" i="8"/>
  <c r="I852" i="8"/>
  <c r="I708" i="8"/>
  <c r="I564" i="8"/>
  <c r="I420" i="8"/>
  <c r="I276" i="8"/>
  <c r="I132" i="8"/>
  <c r="I983" i="8"/>
  <c r="I839" i="8"/>
  <c r="I695" i="8"/>
  <c r="I551" i="8"/>
  <c r="I407" i="8"/>
  <c r="I263" i="8"/>
  <c r="I119" i="8"/>
  <c r="I970" i="8"/>
  <c r="I826" i="8"/>
  <c r="I682" i="8"/>
  <c r="I538" i="8"/>
  <c r="I394" i="8"/>
  <c r="I250" i="8"/>
  <c r="I106" i="8"/>
  <c r="I957" i="8"/>
  <c r="I813" i="8"/>
  <c r="I669" i="8"/>
  <c r="I525" i="8"/>
  <c r="I381" i="8"/>
  <c r="I237" i="8"/>
  <c r="I944" i="8"/>
  <c r="I800" i="8"/>
  <c r="I656" i="8"/>
  <c r="I512" i="8"/>
  <c r="I368" i="8"/>
  <c r="I224" i="8"/>
  <c r="I931" i="8"/>
  <c r="I787" i="8"/>
  <c r="I643" i="8"/>
  <c r="I499" i="8"/>
  <c r="I355" i="8"/>
  <c r="I211" i="8"/>
  <c r="I930" i="8"/>
  <c r="I786" i="8"/>
  <c r="I642" i="8"/>
  <c r="I498" i="8"/>
  <c r="I354" i="8"/>
  <c r="I210" i="8"/>
  <c r="I929" i="8"/>
  <c r="I785" i="8"/>
  <c r="I641" i="8"/>
  <c r="I497" i="8"/>
  <c r="I353" i="8"/>
  <c r="I209" i="8"/>
  <c r="I928" i="8"/>
  <c r="I784" i="8"/>
  <c r="I640" i="8"/>
  <c r="I496" i="8"/>
  <c r="I352" i="8"/>
  <c r="I208" i="8"/>
  <c r="I927" i="8"/>
  <c r="I783" i="8"/>
  <c r="I639" i="8"/>
  <c r="I495" i="8"/>
  <c r="I351" i="8"/>
  <c r="I207" i="8"/>
  <c r="I662" i="8"/>
  <c r="I780" i="8"/>
  <c r="I322" i="8"/>
  <c r="I1000" i="8"/>
  <c r="I434" i="8"/>
  <c r="I709" i="8"/>
  <c r="I565" i="8"/>
  <c r="I421" i="8"/>
  <c r="I277" i="8"/>
  <c r="I133" i="8"/>
  <c r="I984" i="8"/>
  <c r="I840" i="8"/>
  <c r="I696" i="8"/>
  <c r="I552" i="8"/>
  <c r="I408" i="8"/>
  <c r="I264" i="8"/>
  <c r="I120" i="8"/>
  <c r="I971" i="8"/>
  <c r="I827" i="8"/>
  <c r="I683" i="8"/>
  <c r="I539" i="8"/>
  <c r="I395" i="8"/>
  <c r="I251" i="8"/>
  <c r="I107" i="8"/>
  <c r="I958" i="8"/>
  <c r="I814" i="8"/>
  <c r="I670" i="8"/>
  <c r="I526" i="8"/>
  <c r="I382" i="8"/>
  <c r="I238" i="8"/>
  <c r="I945" i="8"/>
  <c r="I801" i="8"/>
  <c r="I657" i="8"/>
  <c r="I513" i="8"/>
  <c r="I369" i="8"/>
  <c r="I225" i="8"/>
  <c r="I932" i="8"/>
  <c r="I788" i="8"/>
  <c r="I644" i="8"/>
  <c r="I500" i="8"/>
  <c r="I356" i="8"/>
  <c r="I212" i="8"/>
  <c r="I919" i="8"/>
  <c r="I775" i="8"/>
  <c r="I631" i="8"/>
  <c r="I487" i="8"/>
  <c r="I343" i="8"/>
  <c r="I199" i="8"/>
  <c r="I918" i="8"/>
  <c r="I774" i="8"/>
  <c r="I630" i="8"/>
  <c r="I486" i="8"/>
  <c r="I342" i="8"/>
  <c r="I198" i="8"/>
  <c r="I917" i="8"/>
  <c r="I773" i="8"/>
  <c r="I629" i="8"/>
  <c r="I485" i="8"/>
  <c r="I341" i="8"/>
  <c r="I197" i="8"/>
  <c r="I916" i="8"/>
  <c r="I772" i="8"/>
  <c r="I628" i="8"/>
  <c r="I484" i="8"/>
  <c r="I340" i="8"/>
  <c r="I196" i="8"/>
  <c r="I915" i="8"/>
  <c r="I771" i="8"/>
  <c r="I627" i="8"/>
  <c r="I483" i="8"/>
  <c r="I339" i="8"/>
  <c r="I195" i="8"/>
  <c r="I937" i="8"/>
  <c r="I569" i="8"/>
  <c r="I866" i="8"/>
  <c r="I290" i="8"/>
  <c r="I854" i="8"/>
  <c r="I278" i="8"/>
  <c r="I697" i="8"/>
  <c r="I409" i="8"/>
  <c r="I972" i="8"/>
  <c r="I828" i="8"/>
  <c r="I684" i="8"/>
  <c r="I540" i="8"/>
  <c r="I396" i="8"/>
  <c r="I252" i="8"/>
  <c r="I108" i="8"/>
  <c r="I959" i="8"/>
  <c r="I815" i="8"/>
  <c r="I671" i="8"/>
  <c r="I527" i="8"/>
  <c r="I383" i="8"/>
  <c r="I239" i="8"/>
  <c r="I946" i="8"/>
  <c r="I802" i="8"/>
  <c r="I658" i="8"/>
  <c r="I514" i="8"/>
  <c r="I370" i="8"/>
  <c r="I226" i="8"/>
  <c r="I933" i="8"/>
  <c r="I789" i="8"/>
  <c r="I645" i="8"/>
  <c r="I501" i="8"/>
  <c r="I357" i="8"/>
  <c r="I213" i="8"/>
  <c r="I920" i="8"/>
  <c r="I776" i="8"/>
  <c r="I632" i="8"/>
  <c r="I488" i="8"/>
  <c r="I344" i="8"/>
  <c r="I200" i="8"/>
  <c r="I907" i="8"/>
  <c r="I763" i="8"/>
  <c r="I619" i="8"/>
  <c r="I475" i="8"/>
  <c r="I331" i="8"/>
  <c r="I187" i="8"/>
  <c r="I906" i="8"/>
  <c r="I762" i="8"/>
  <c r="I618" i="8"/>
  <c r="I474" i="8"/>
  <c r="I330" i="8"/>
  <c r="I186" i="8"/>
  <c r="I905" i="8"/>
  <c r="I761" i="8"/>
  <c r="I617" i="8"/>
  <c r="I473" i="8"/>
  <c r="I329" i="8"/>
  <c r="I185" i="8"/>
  <c r="I904" i="8"/>
  <c r="I760" i="8"/>
  <c r="I616" i="8"/>
  <c r="I472" i="8"/>
  <c r="I328" i="8"/>
  <c r="I184" i="8"/>
  <c r="I903" i="8"/>
  <c r="I759" i="8"/>
  <c r="I615" i="8"/>
  <c r="I471" i="8"/>
  <c r="I327" i="8"/>
  <c r="I183" i="8"/>
  <c r="I374" i="8"/>
  <c r="I479" i="8"/>
  <c r="I165" i="8"/>
  <c r="I137" i="8"/>
  <c r="I578" i="8"/>
  <c r="I997" i="8"/>
  <c r="I710" i="8"/>
  <c r="I134" i="8"/>
  <c r="I121" i="8"/>
  <c r="I554" i="8"/>
  <c r="I266" i="8"/>
  <c r="I973" i="8"/>
  <c r="I685" i="8"/>
  <c r="I253" i="8"/>
  <c r="I960" i="8"/>
  <c r="I528" i="8"/>
  <c r="I240" i="8"/>
  <c r="I803" i="8"/>
  <c r="I515" i="8"/>
  <c r="I227" i="8"/>
  <c r="I790" i="8"/>
  <c r="I646" i="8"/>
  <c r="I358" i="8"/>
  <c r="I214" i="8"/>
  <c r="I921" i="8"/>
  <c r="I777" i="8"/>
  <c r="I633" i="8"/>
  <c r="I489" i="8"/>
  <c r="I201" i="8"/>
  <c r="I908" i="8"/>
  <c r="I764" i="8"/>
  <c r="I620" i="8"/>
  <c r="I476" i="8"/>
  <c r="I332" i="8"/>
  <c r="I188" i="8"/>
  <c r="I895" i="8"/>
  <c r="I751" i="8"/>
  <c r="I607" i="8"/>
  <c r="I463" i="8"/>
  <c r="I319" i="8"/>
  <c r="I175" i="8"/>
  <c r="I894" i="8"/>
  <c r="I750" i="8"/>
  <c r="I606" i="8"/>
  <c r="I462" i="8"/>
  <c r="I318" i="8"/>
  <c r="I174" i="8"/>
  <c r="I893" i="8"/>
  <c r="I749" i="8"/>
  <c r="I605" i="8"/>
  <c r="I461" i="8"/>
  <c r="I317" i="8"/>
  <c r="I173" i="8"/>
  <c r="I892" i="8"/>
  <c r="I748" i="8"/>
  <c r="I604" i="8"/>
  <c r="I460" i="8"/>
  <c r="I316" i="8"/>
  <c r="I172" i="8"/>
  <c r="I891" i="8"/>
  <c r="I747" i="8"/>
  <c r="I603" i="8"/>
  <c r="I459" i="8"/>
  <c r="I315" i="8"/>
  <c r="I171" i="8"/>
  <c r="I505" i="8"/>
  <c r="I911" i="8"/>
  <c r="I754" i="8"/>
  <c r="I425" i="8"/>
  <c r="I722" i="8"/>
  <c r="I853" i="8"/>
  <c r="I566" i="8"/>
  <c r="I841" i="8"/>
  <c r="I265" i="8"/>
  <c r="I842" i="8"/>
  <c r="I410" i="8"/>
  <c r="I122" i="8"/>
  <c r="I829" i="8"/>
  <c r="I541" i="8"/>
  <c r="I397" i="8"/>
  <c r="I109" i="8"/>
  <c r="I816" i="8"/>
  <c r="I672" i="8"/>
  <c r="I384" i="8"/>
  <c r="I947" i="8"/>
  <c r="I659" i="8"/>
  <c r="I371" i="8"/>
  <c r="I934" i="8"/>
  <c r="I502" i="8"/>
  <c r="I345" i="8"/>
  <c r="I974" i="8"/>
  <c r="I830" i="8"/>
  <c r="I686" i="8"/>
  <c r="I542" i="8"/>
  <c r="I398" i="8"/>
  <c r="I254" i="8"/>
  <c r="I110" i="8"/>
  <c r="I961" i="8"/>
  <c r="I817" i="8"/>
  <c r="I673" i="8"/>
  <c r="I529" i="8"/>
  <c r="I385" i="8"/>
  <c r="I241" i="8"/>
  <c r="I948" i="8"/>
  <c r="I804" i="8"/>
  <c r="I660" i="8"/>
  <c r="I516" i="8"/>
  <c r="I372" i="8"/>
  <c r="I228" i="8"/>
  <c r="I935" i="8"/>
  <c r="I791" i="8"/>
  <c r="I647" i="8"/>
  <c r="I503" i="8"/>
  <c r="I359" i="8"/>
  <c r="I215" i="8"/>
  <c r="I922" i="8"/>
  <c r="I778" i="8"/>
  <c r="I634" i="8"/>
  <c r="I490" i="8"/>
  <c r="I346" i="8"/>
  <c r="I202" i="8"/>
  <c r="I909" i="8"/>
  <c r="I765" i="8"/>
  <c r="I621" i="8"/>
  <c r="I477" i="8"/>
  <c r="I333" i="8"/>
  <c r="I189" i="8"/>
  <c r="I896" i="8"/>
  <c r="I752" i="8"/>
  <c r="I608" i="8"/>
  <c r="I464" i="8"/>
  <c r="I320" i="8"/>
  <c r="I176" i="8"/>
  <c r="I883" i="8"/>
  <c r="I739" i="8"/>
  <c r="I595" i="8"/>
  <c r="I451" i="8"/>
  <c r="I307" i="8"/>
  <c r="I163" i="8"/>
  <c r="I882" i="8"/>
  <c r="I738" i="8"/>
  <c r="I594" i="8"/>
  <c r="I450" i="8"/>
  <c r="I306" i="8"/>
  <c r="I162" i="8"/>
  <c r="I881" i="8"/>
  <c r="I737" i="8"/>
  <c r="I593" i="8"/>
  <c r="I449" i="8"/>
  <c r="I305" i="8"/>
  <c r="I161" i="8"/>
  <c r="I880" i="8"/>
  <c r="I736" i="8"/>
  <c r="I592" i="8"/>
  <c r="I448" i="8"/>
  <c r="I304" i="8"/>
  <c r="I160" i="8"/>
  <c r="I879" i="8"/>
  <c r="I735" i="8"/>
  <c r="I591" i="8"/>
  <c r="I447" i="8"/>
  <c r="I303" i="8"/>
  <c r="I159" i="8"/>
  <c r="I492" i="8"/>
  <c r="I191" i="8"/>
  <c r="I309" i="8"/>
  <c r="I713" i="8"/>
  <c r="I146" i="8"/>
  <c r="I998" i="8"/>
  <c r="I422" i="8"/>
  <c r="I985" i="8"/>
  <c r="I553" i="8"/>
  <c r="I986" i="8"/>
  <c r="I698" i="8"/>
  <c r="I962" i="8"/>
  <c r="I818" i="8"/>
  <c r="I674" i="8"/>
  <c r="I530" i="8"/>
  <c r="I386" i="8"/>
  <c r="I242" i="8"/>
  <c r="I949" i="8"/>
  <c r="I805" i="8"/>
  <c r="I661" i="8"/>
  <c r="I517" i="8"/>
  <c r="I373" i="8"/>
  <c r="I229" i="8"/>
  <c r="I936" i="8"/>
  <c r="I792" i="8"/>
  <c r="I648" i="8"/>
  <c r="I504" i="8"/>
  <c r="I360" i="8"/>
  <c r="I216" i="8"/>
  <c r="I923" i="8"/>
  <c r="I779" i="8"/>
  <c r="I635" i="8"/>
  <c r="I491" i="8"/>
  <c r="I347" i="8"/>
  <c r="I203" i="8"/>
  <c r="I910" i="8"/>
  <c r="I766" i="8"/>
  <c r="I622" i="8"/>
  <c r="I478" i="8"/>
  <c r="I334" i="8"/>
  <c r="I190" i="8"/>
  <c r="I897" i="8"/>
  <c r="I753" i="8"/>
  <c r="I609" i="8"/>
  <c r="I465" i="8"/>
  <c r="I321" i="8"/>
  <c r="I177" i="8"/>
  <c r="I884" i="8"/>
  <c r="I740" i="8"/>
  <c r="I596" i="8"/>
  <c r="I452" i="8"/>
  <c r="I308" i="8"/>
  <c r="I164" i="8"/>
  <c r="I871" i="8"/>
  <c r="I727" i="8"/>
  <c r="I583" i="8"/>
  <c r="I439" i="8"/>
  <c r="I295" i="8"/>
  <c r="I151" i="8"/>
  <c r="I870" i="8"/>
  <c r="I726" i="8"/>
  <c r="I582" i="8"/>
  <c r="I438" i="8"/>
  <c r="I294" i="8"/>
  <c r="I150" i="8"/>
  <c r="I869" i="8"/>
  <c r="I725" i="8"/>
  <c r="I581" i="8"/>
  <c r="I437" i="8"/>
  <c r="I293" i="8"/>
  <c r="I149" i="8"/>
  <c r="I868" i="8"/>
  <c r="I724" i="8"/>
  <c r="I580" i="8"/>
  <c r="I436" i="8"/>
  <c r="I292" i="8"/>
  <c r="I148" i="8"/>
  <c r="I867" i="8"/>
  <c r="I723" i="8"/>
  <c r="I579" i="8"/>
  <c r="I435" i="8"/>
  <c r="I291" i="8"/>
  <c r="I147" i="8"/>
  <c r="C7" i="6"/>
  <c r="D8" i="6" s="1"/>
  <c r="E6" i="6"/>
  <c r="D7" i="6" l="1"/>
  <c r="E8" i="6" s="1"/>
  <c r="C10" i="6"/>
  <c r="F6" i="6"/>
  <c r="E7" i="6" l="1"/>
  <c r="F8" i="6" s="1"/>
  <c r="D10" i="6"/>
  <c r="G6" i="6"/>
  <c r="F7" i="6" l="1"/>
  <c r="G8" i="6" s="1"/>
  <c r="E10" i="6"/>
  <c r="H6" i="6"/>
  <c r="G7" i="6" l="1"/>
  <c r="H8" i="6" s="1"/>
  <c r="F10" i="6"/>
  <c r="I6" i="6"/>
  <c r="H7" i="6" l="1"/>
  <c r="I8" i="6" s="1"/>
  <c r="G10" i="6"/>
  <c r="J6" i="6"/>
  <c r="I7" i="6" l="1"/>
  <c r="J8" i="6" s="1"/>
  <c r="H10" i="6"/>
  <c r="K6" i="6"/>
  <c r="J7" i="6" l="1"/>
  <c r="K8" i="6" s="1"/>
  <c r="I10" i="6"/>
  <c r="L6" i="6"/>
  <c r="K7" i="6" l="1"/>
  <c r="L8" i="6" s="1"/>
  <c r="J10" i="6"/>
  <c r="M6" i="6"/>
  <c r="L7" i="6" l="1"/>
  <c r="M8" i="6" s="1"/>
  <c r="K10" i="6"/>
  <c r="N6" i="6"/>
  <c r="M7" i="6" l="1"/>
  <c r="N8" i="6" s="1"/>
  <c r="L10" i="6"/>
  <c r="O6" i="6"/>
  <c r="N7" i="6" l="1"/>
  <c r="O8" i="6" s="1"/>
  <c r="M10" i="6"/>
  <c r="P6" i="6"/>
  <c r="O7" i="6" l="1"/>
  <c r="P8" i="6" s="1"/>
  <c r="N10" i="6"/>
  <c r="Q6" i="6"/>
  <c r="P7" i="6" l="1"/>
  <c r="Q8" i="6" s="1"/>
  <c r="O10" i="6"/>
  <c r="R6" i="6"/>
  <c r="Q7" i="6" l="1"/>
  <c r="R8" i="6" s="1"/>
  <c r="P10" i="6"/>
  <c r="S6" i="6"/>
  <c r="R7" i="6" l="1"/>
  <c r="S8" i="6" s="1"/>
  <c r="Q10" i="6"/>
  <c r="T6" i="6"/>
  <c r="S7" i="6" l="1"/>
  <c r="T8" i="6" s="1"/>
  <c r="R10" i="6"/>
  <c r="U6" i="6"/>
  <c r="T7" i="6" l="1"/>
  <c r="U8" i="6" s="1"/>
  <c r="S10" i="6"/>
  <c r="V6" i="6"/>
  <c r="U7" i="6" l="1"/>
  <c r="V8" i="6" s="1"/>
  <c r="T10" i="6"/>
  <c r="W6" i="6"/>
  <c r="V7" i="6" l="1"/>
  <c r="W8" i="6" s="1"/>
  <c r="U10" i="6"/>
  <c r="X6" i="6"/>
  <c r="W7" i="6" l="1"/>
  <c r="X8" i="6" s="1"/>
  <c r="V10" i="6"/>
  <c r="Y6" i="6"/>
  <c r="X7" i="6" l="1"/>
  <c r="Y8" i="6" s="1"/>
  <c r="W10" i="6"/>
  <c r="Z6" i="6"/>
  <c r="Y7" i="6" l="1"/>
  <c r="Z8" i="6" s="1"/>
  <c r="X10" i="6"/>
  <c r="AA6" i="6"/>
  <c r="Z7" i="6" l="1"/>
  <c r="AA8" i="6" s="1"/>
  <c r="Y10" i="6"/>
  <c r="AB6" i="6"/>
  <c r="AA7" i="6" l="1"/>
  <c r="AB8" i="6" s="1"/>
  <c r="Z10" i="6"/>
  <c r="AC6" i="6"/>
  <c r="AB7" i="6" l="1"/>
  <c r="AC8" i="6" s="1"/>
  <c r="AA10" i="6"/>
  <c r="AD6" i="6"/>
  <c r="AC7" i="6" l="1"/>
  <c r="AD8" i="6" s="1"/>
  <c r="AB10" i="6"/>
  <c r="AE6" i="6"/>
  <c r="AD7" i="6" l="1"/>
  <c r="AE8" i="6" s="1"/>
  <c r="AC10" i="6"/>
  <c r="AF6" i="6"/>
  <c r="AE7" i="6" l="1"/>
  <c r="AF8" i="6" s="1"/>
  <c r="AD10" i="6"/>
  <c r="AG6" i="6"/>
  <c r="AF7" i="6" l="1"/>
  <c r="AG8" i="6" s="1"/>
  <c r="AE10" i="6"/>
  <c r="AH6" i="6"/>
  <c r="AG7" i="6" l="1"/>
  <c r="AH8" i="6" s="1"/>
  <c r="AF10" i="6"/>
  <c r="AI6" i="6"/>
  <c r="AH7" i="6" l="1"/>
  <c r="AI8" i="6" s="1"/>
  <c r="AG10" i="6"/>
  <c r="AJ6" i="6"/>
  <c r="AH10" i="6" l="1"/>
  <c r="AI7" i="6"/>
  <c r="AJ8" i="6" s="1"/>
  <c r="AK6" i="6"/>
  <c r="AJ7" i="6" l="1"/>
  <c r="AK8" i="6" s="1"/>
  <c r="AI10" i="6"/>
  <c r="AL6" i="6"/>
  <c r="AJ10" i="6" l="1"/>
  <c r="AK7" i="6"/>
  <c r="AL8" i="6" s="1"/>
  <c r="AM6" i="6"/>
  <c r="AK10" i="6" l="1"/>
  <c r="AL7" i="6"/>
  <c r="AM8" i="6" s="1"/>
  <c r="AN6" i="6"/>
  <c r="AL10" i="6" l="1"/>
  <c r="AM7" i="6"/>
  <c r="AN8" i="6" s="1"/>
  <c r="AO6" i="6"/>
  <c r="AM10" i="6" l="1"/>
  <c r="AN7" i="6"/>
  <c r="AO8" i="6" s="1"/>
  <c r="AP6" i="6"/>
  <c r="H6" i="8" l="1"/>
  <c r="H88" i="8"/>
  <c r="H48" i="8"/>
  <c r="H10" i="8"/>
  <c r="H96" i="8"/>
  <c r="H40" i="8"/>
  <c r="H84" i="8"/>
  <c r="H11" i="8"/>
  <c r="H37" i="8"/>
  <c r="H21" i="8"/>
  <c r="H93" i="8"/>
  <c r="H77" i="8"/>
  <c r="H61" i="8"/>
  <c r="H5" i="8"/>
  <c r="H31" i="8"/>
  <c r="H15" i="8"/>
  <c r="H87" i="8"/>
  <c r="H71" i="8"/>
  <c r="H55" i="8"/>
  <c r="H8" i="8"/>
  <c r="H34" i="8"/>
  <c r="H18" i="8"/>
  <c r="H90" i="8"/>
  <c r="H74" i="8"/>
  <c r="H58" i="8"/>
  <c r="H36" i="8"/>
  <c r="H80" i="8"/>
  <c r="H44" i="8"/>
  <c r="H64" i="8"/>
  <c r="H28" i="8"/>
  <c r="H76" i="8"/>
  <c r="H7" i="8"/>
  <c r="H33" i="8"/>
  <c r="H17" i="8"/>
  <c r="H89" i="8"/>
  <c r="H73" i="8"/>
  <c r="H57" i="8"/>
  <c r="H43" i="8"/>
  <c r="H27" i="8"/>
  <c r="H99" i="8"/>
  <c r="H83" i="8"/>
  <c r="H67" i="8"/>
  <c r="H51" i="8"/>
  <c r="H4" i="8"/>
  <c r="H30" i="8"/>
  <c r="H102" i="8"/>
  <c r="H86" i="8"/>
  <c r="H70" i="8"/>
  <c r="H54" i="8"/>
  <c r="H24" i="8"/>
  <c r="H72" i="8"/>
  <c r="H32" i="8"/>
  <c r="H56" i="8"/>
  <c r="H16" i="8"/>
  <c r="H68" i="8"/>
  <c r="H45" i="8"/>
  <c r="H29" i="8"/>
  <c r="H101" i="8"/>
  <c r="H85" i="8"/>
  <c r="H69" i="8"/>
  <c r="H53" i="8"/>
  <c r="H13" i="8"/>
  <c r="H39" i="8"/>
  <c r="H23" i="8"/>
  <c r="H95" i="8"/>
  <c r="H79" i="8"/>
  <c r="H63" i="8"/>
  <c r="H47" i="8"/>
  <c r="H100" i="8"/>
  <c r="H3" i="8"/>
  <c r="H81" i="8"/>
  <c r="H35" i="8"/>
  <c r="H59" i="8"/>
  <c r="H42" i="8"/>
  <c r="H98" i="8"/>
  <c r="H66" i="8"/>
  <c r="H46" i="8"/>
  <c r="H60" i="8"/>
  <c r="H14" i="8"/>
  <c r="H41" i="8"/>
  <c r="H65" i="8"/>
  <c r="H19" i="8"/>
  <c r="H38" i="8"/>
  <c r="H94" i="8"/>
  <c r="H62" i="8"/>
  <c r="H75" i="8"/>
  <c r="H22" i="8"/>
  <c r="H20" i="8"/>
  <c r="H92" i="8"/>
  <c r="H25" i="8"/>
  <c r="H49" i="8"/>
  <c r="H91" i="8"/>
  <c r="H26" i="8"/>
  <c r="H82" i="8"/>
  <c r="H50" i="8"/>
  <c r="H52" i="8"/>
  <c r="H97" i="8"/>
  <c r="H9" i="8"/>
  <c r="H12" i="8"/>
  <c r="H78" i="8"/>
  <c r="AN10" i="6"/>
  <c r="AO7" i="6"/>
  <c r="I86" i="8" l="1"/>
  <c r="I69" i="8"/>
  <c r="I74" i="8"/>
  <c r="I89" i="8"/>
  <c r="I19" i="8"/>
  <c r="I17" i="8"/>
  <c r="I21" i="8"/>
  <c r="I29" i="8"/>
  <c r="I37" i="8"/>
  <c r="I45" i="8"/>
  <c r="I11" i="8"/>
  <c r="I49" i="8"/>
  <c r="I51" i="8"/>
  <c r="I60" i="8"/>
  <c r="I40" i="8"/>
  <c r="I32" i="8"/>
  <c r="I15" i="8"/>
  <c r="I10" i="8"/>
  <c r="I35" i="8"/>
  <c r="I77" i="8"/>
  <c r="I38" i="8"/>
  <c r="I85" i="8"/>
  <c r="I18" i="8"/>
  <c r="I100" i="8"/>
  <c r="I34" i="8"/>
  <c r="I47" i="8"/>
  <c r="I7" i="8"/>
  <c r="I14" i="8"/>
  <c r="I76" i="8"/>
  <c r="I16" i="8"/>
  <c r="I46" i="8"/>
  <c r="I83" i="8"/>
  <c r="I96" i="8"/>
  <c r="I39" i="8"/>
  <c r="I27" i="8"/>
  <c r="I80" i="8"/>
  <c r="I31" i="8"/>
  <c r="I48" i="8"/>
  <c r="I94" i="8"/>
  <c r="I70" i="8"/>
  <c r="I50" i="8"/>
  <c r="I90" i="8"/>
  <c r="I82" i="8"/>
  <c r="I102" i="8"/>
  <c r="I26" i="8"/>
  <c r="I30" i="8"/>
  <c r="I41" i="8"/>
  <c r="I8" i="8"/>
  <c r="I68" i="8"/>
  <c r="I84" i="8"/>
  <c r="I25" i="8"/>
  <c r="I67" i="8"/>
  <c r="I28" i="8"/>
  <c r="I92" i="8"/>
  <c r="I56" i="8"/>
  <c r="I87" i="8"/>
  <c r="I78" i="8"/>
  <c r="I66" i="8"/>
  <c r="I99" i="8"/>
  <c r="I12" i="8"/>
  <c r="I72" i="8"/>
  <c r="I9" i="8"/>
  <c r="I75" i="8"/>
  <c r="I42" i="8"/>
  <c r="I13" i="8"/>
  <c r="I24" i="8"/>
  <c r="I43" i="8"/>
  <c r="I36" i="8"/>
  <c r="I5" i="8"/>
  <c r="I88" i="8"/>
  <c r="I52" i="8"/>
  <c r="I73" i="8"/>
  <c r="I81" i="8"/>
  <c r="I93" i="8"/>
  <c r="I101" i="8"/>
  <c r="I65" i="8"/>
  <c r="I33" i="8"/>
  <c r="I91" i="8"/>
  <c r="I4" i="8"/>
  <c r="I63" i="8"/>
  <c r="I55" i="8"/>
  <c r="I79" i="8"/>
  <c r="I71" i="8"/>
  <c r="I95" i="8"/>
  <c r="I64" i="8"/>
  <c r="I20" i="8"/>
  <c r="I23" i="8"/>
  <c r="I44" i="8"/>
  <c r="I22" i="8"/>
  <c r="I98" i="8"/>
  <c r="I97" i="8"/>
  <c r="I62" i="8"/>
  <c r="I59" i="8"/>
  <c r="I53" i="8"/>
  <c r="I54" i="8"/>
  <c r="I57" i="8"/>
  <c r="I58" i="8"/>
  <c r="I61" i="8"/>
  <c r="I6" i="8"/>
  <c r="I3" i="8"/>
  <c r="AP8" i="6"/>
  <c r="AO10" i="6"/>
  <c r="AP7" i="6"/>
  <c r="J5" i="8" l="1"/>
  <c r="J17" i="8"/>
  <c r="J29" i="8"/>
  <c r="J41" i="8"/>
  <c r="J53" i="8"/>
  <c r="J65" i="8"/>
  <c r="J77" i="8"/>
  <c r="J89" i="8"/>
  <c r="J101" i="8"/>
  <c r="J113" i="8"/>
  <c r="K113" i="8" s="1"/>
  <c r="J125" i="8"/>
  <c r="K125" i="8" s="1"/>
  <c r="J137" i="8"/>
  <c r="K137" i="8" s="1"/>
  <c r="J149" i="8"/>
  <c r="K149" i="8" s="1"/>
  <c r="J161" i="8"/>
  <c r="K161" i="8" s="1"/>
  <c r="J173" i="8"/>
  <c r="K173" i="8" s="1"/>
  <c r="J185" i="8"/>
  <c r="K185" i="8" s="1"/>
  <c r="J197" i="8"/>
  <c r="K197" i="8" s="1"/>
  <c r="J209" i="8"/>
  <c r="K209" i="8" s="1"/>
  <c r="J221" i="8"/>
  <c r="K221" i="8" s="1"/>
  <c r="J233" i="8"/>
  <c r="K233" i="8" s="1"/>
  <c r="J245" i="8"/>
  <c r="K245" i="8" s="1"/>
  <c r="J257" i="8"/>
  <c r="K257" i="8" s="1"/>
  <c r="J269" i="8"/>
  <c r="K269" i="8" s="1"/>
  <c r="J281" i="8"/>
  <c r="K281" i="8" s="1"/>
  <c r="J293" i="8"/>
  <c r="K293" i="8" s="1"/>
  <c r="J305" i="8"/>
  <c r="K305" i="8" s="1"/>
  <c r="J317" i="8"/>
  <c r="K317" i="8" s="1"/>
  <c r="J329" i="8"/>
  <c r="K329" i="8" s="1"/>
  <c r="J341" i="8"/>
  <c r="K341" i="8" s="1"/>
  <c r="J353" i="8"/>
  <c r="K353" i="8" s="1"/>
  <c r="J365" i="8"/>
  <c r="K365" i="8" s="1"/>
  <c r="J377" i="8"/>
  <c r="K377" i="8" s="1"/>
  <c r="J389" i="8"/>
  <c r="K389" i="8" s="1"/>
  <c r="J401" i="8"/>
  <c r="K401" i="8" s="1"/>
  <c r="J413" i="8"/>
  <c r="K413" i="8" s="1"/>
  <c r="J425" i="8"/>
  <c r="K425" i="8" s="1"/>
  <c r="J437" i="8"/>
  <c r="K437" i="8" s="1"/>
  <c r="J449" i="8"/>
  <c r="K449" i="8" s="1"/>
  <c r="J461" i="8"/>
  <c r="K461" i="8" s="1"/>
  <c r="J473" i="8"/>
  <c r="K473" i="8" s="1"/>
  <c r="J485" i="8"/>
  <c r="K485" i="8" s="1"/>
  <c r="J497" i="8"/>
  <c r="K497" i="8" s="1"/>
  <c r="J509" i="8"/>
  <c r="K509" i="8" s="1"/>
  <c r="J521" i="8"/>
  <c r="K521" i="8" s="1"/>
  <c r="J533" i="8"/>
  <c r="K533" i="8" s="1"/>
  <c r="J545" i="8"/>
  <c r="K545" i="8" s="1"/>
  <c r="J557" i="8"/>
  <c r="K557" i="8" s="1"/>
  <c r="J569" i="8"/>
  <c r="K569" i="8" s="1"/>
  <c r="J581" i="8"/>
  <c r="K581" i="8" s="1"/>
  <c r="J593" i="8"/>
  <c r="K593" i="8" s="1"/>
  <c r="J605" i="8"/>
  <c r="K605" i="8" s="1"/>
  <c r="J617" i="8"/>
  <c r="K617" i="8" s="1"/>
  <c r="J629" i="8"/>
  <c r="K629" i="8" s="1"/>
  <c r="J641" i="8"/>
  <c r="K641" i="8" s="1"/>
  <c r="J653" i="8"/>
  <c r="K653" i="8" s="1"/>
  <c r="J665" i="8"/>
  <c r="K665" i="8" s="1"/>
  <c r="J677" i="8"/>
  <c r="K677" i="8" s="1"/>
  <c r="J689" i="8"/>
  <c r="K689" i="8" s="1"/>
  <c r="J701" i="8"/>
  <c r="K701" i="8" s="1"/>
  <c r="J713" i="8"/>
  <c r="K713" i="8" s="1"/>
  <c r="J725" i="8"/>
  <c r="K725" i="8" s="1"/>
  <c r="J737" i="8"/>
  <c r="K737" i="8" s="1"/>
  <c r="J749" i="8"/>
  <c r="K749" i="8" s="1"/>
  <c r="J761" i="8"/>
  <c r="K761" i="8" s="1"/>
  <c r="J773" i="8"/>
  <c r="K773" i="8" s="1"/>
  <c r="J785" i="8"/>
  <c r="K785" i="8" s="1"/>
  <c r="J797" i="8"/>
  <c r="K797" i="8" s="1"/>
  <c r="J809" i="8"/>
  <c r="K809" i="8" s="1"/>
  <c r="J821" i="8"/>
  <c r="K821" i="8" s="1"/>
  <c r="J833" i="8"/>
  <c r="K833" i="8" s="1"/>
  <c r="J845" i="8"/>
  <c r="K845" i="8" s="1"/>
  <c r="J857" i="8"/>
  <c r="K857" i="8" s="1"/>
  <c r="J869" i="8"/>
  <c r="K869" i="8" s="1"/>
  <c r="J881" i="8"/>
  <c r="K881" i="8" s="1"/>
  <c r="J893" i="8"/>
  <c r="K893" i="8" s="1"/>
  <c r="J905" i="8"/>
  <c r="K905" i="8" s="1"/>
  <c r="J917" i="8"/>
  <c r="K917" i="8" s="1"/>
  <c r="J929" i="8"/>
  <c r="K929" i="8" s="1"/>
  <c r="J941" i="8"/>
  <c r="K941" i="8" s="1"/>
  <c r="J953" i="8"/>
  <c r="K953" i="8" s="1"/>
  <c r="J965" i="8"/>
  <c r="K965" i="8" s="1"/>
  <c r="J977" i="8"/>
  <c r="K977" i="8" s="1"/>
  <c r="J989" i="8"/>
  <c r="K989" i="8" s="1"/>
  <c r="J1001" i="8"/>
  <c r="K1001" i="8" s="1"/>
  <c r="J6" i="8"/>
  <c r="J18" i="8"/>
  <c r="J30" i="8"/>
  <c r="J42" i="8"/>
  <c r="J54" i="8"/>
  <c r="J66" i="8"/>
  <c r="J78" i="8"/>
  <c r="J90" i="8"/>
  <c r="J102" i="8"/>
  <c r="J114" i="8"/>
  <c r="K114" i="8" s="1"/>
  <c r="J126" i="8"/>
  <c r="K126" i="8" s="1"/>
  <c r="J138" i="8"/>
  <c r="K138" i="8" s="1"/>
  <c r="J150" i="8"/>
  <c r="K150" i="8" s="1"/>
  <c r="J162" i="8"/>
  <c r="K162" i="8" s="1"/>
  <c r="J174" i="8"/>
  <c r="K174" i="8" s="1"/>
  <c r="J186" i="8"/>
  <c r="K186" i="8" s="1"/>
  <c r="J198" i="8"/>
  <c r="K198" i="8" s="1"/>
  <c r="J210" i="8"/>
  <c r="K210" i="8" s="1"/>
  <c r="J222" i="8"/>
  <c r="K222" i="8" s="1"/>
  <c r="J234" i="8"/>
  <c r="K234" i="8" s="1"/>
  <c r="J246" i="8"/>
  <c r="K246" i="8" s="1"/>
  <c r="J258" i="8"/>
  <c r="K258" i="8" s="1"/>
  <c r="J270" i="8"/>
  <c r="K270" i="8" s="1"/>
  <c r="J282" i="8"/>
  <c r="K282" i="8" s="1"/>
  <c r="J294" i="8"/>
  <c r="K294" i="8" s="1"/>
  <c r="J306" i="8"/>
  <c r="K306" i="8" s="1"/>
  <c r="J318" i="8"/>
  <c r="K318" i="8" s="1"/>
  <c r="J330" i="8"/>
  <c r="K330" i="8" s="1"/>
  <c r="J342" i="8"/>
  <c r="K342" i="8" s="1"/>
  <c r="J354" i="8"/>
  <c r="K354" i="8" s="1"/>
  <c r="J366" i="8"/>
  <c r="K366" i="8" s="1"/>
  <c r="J378" i="8"/>
  <c r="K378" i="8" s="1"/>
  <c r="J390" i="8"/>
  <c r="K390" i="8" s="1"/>
  <c r="J402" i="8"/>
  <c r="K402" i="8" s="1"/>
  <c r="J414" i="8"/>
  <c r="K414" i="8" s="1"/>
  <c r="J426" i="8"/>
  <c r="K426" i="8" s="1"/>
  <c r="J438" i="8"/>
  <c r="K438" i="8" s="1"/>
  <c r="J450" i="8"/>
  <c r="K450" i="8" s="1"/>
  <c r="J462" i="8"/>
  <c r="K462" i="8" s="1"/>
  <c r="J474" i="8"/>
  <c r="K474" i="8" s="1"/>
  <c r="J486" i="8"/>
  <c r="K486" i="8" s="1"/>
  <c r="J498" i="8"/>
  <c r="K498" i="8" s="1"/>
  <c r="J510" i="8"/>
  <c r="K510" i="8" s="1"/>
  <c r="J522" i="8"/>
  <c r="K522" i="8" s="1"/>
  <c r="J534" i="8"/>
  <c r="K534" i="8" s="1"/>
  <c r="J546" i="8"/>
  <c r="K546" i="8" s="1"/>
  <c r="J558" i="8"/>
  <c r="K558" i="8" s="1"/>
  <c r="J570" i="8"/>
  <c r="K570" i="8" s="1"/>
  <c r="J582" i="8"/>
  <c r="K582" i="8" s="1"/>
  <c r="J594" i="8"/>
  <c r="K594" i="8" s="1"/>
  <c r="J606" i="8"/>
  <c r="K606" i="8" s="1"/>
  <c r="J618" i="8"/>
  <c r="K618" i="8" s="1"/>
  <c r="J630" i="8"/>
  <c r="K630" i="8" s="1"/>
  <c r="J642" i="8"/>
  <c r="K642" i="8" s="1"/>
  <c r="J654" i="8"/>
  <c r="K654" i="8" s="1"/>
  <c r="J666" i="8"/>
  <c r="K666" i="8" s="1"/>
  <c r="J678" i="8"/>
  <c r="K678" i="8" s="1"/>
  <c r="J690" i="8"/>
  <c r="K690" i="8" s="1"/>
  <c r="J702" i="8"/>
  <c r="K702" i="8" s="1"/>
  <c r="J714" i="8"/>
  <c r="K714" i="8" s="1"/>
  <c r="J726" i="8"/>
  <c r="K726" i="8" s="1"/>
  <c r="J738" i="8"/>
  <c r="K738" i="8" s="1"/>
  <c r="J750" i="8"/>
  <c r="K750" i="8" s="1"/>
  <c r="J762" i="8"/>
  <c r="K762" i="8" s="1"/>
  <c r="J774" i="8"/>
  <c r="K774" i="8" s="1"/>
  <c r="J786" i="8"/>
  <c r="K786" i="8" s="1"/>
  <c r="J798" i="8"/>
  <c r="K798" i="8" s="1"/>
  <c r="J810" i="8"/>
  <c r="K810" i="8" s="1"/>
  <c r="J822" i="8"/>
  <c r="K822" i="8" s="1"/>
  <c r="J834" i="8"/>
  <c r="K834" i="8" s="1"/>
  <c r="J846" i="8"/>
  <c r="K846" i="8" s="1"/>
  <c r="J858" i="8"/>
  <c r="K858" i="8" s="1"/>
  <c r="J870" i="8"/>
  <c r="K870" i="8" s="1"/>
  <c r="J882" i="8"/>
  <c r="K882" i="8" s="1"/>
  <c r="J894" i="8"/>
  <c r="K894" i="8" s="1"/>
  <c r="J906" i="8"/>
  <c r="K906" i="8" s="1"/>
  <c r="J918" i="8"/>
  <c r="K918" i="8" s="1"/>
  <c r="J930" i="8"/>
  <c r="K930" i="8" s="1"/>
  <c r="J942" i="8"/>
  <c r="K942" i="8" s="1"/>
  <c r="J954" i="8"/>
  <c r="K954" i="8" s="1"/>
  <c r="J966" i="8"/>
  <c r="K966" i="8" s="1"/>
  <c r="J978" i="8"/>
  <c r="K978" i="8" s="1"/>
  <c r="J990" i="8"/>
  <c r="K990" i="8" s="1"/>
  <c r="J1002" i="8"/>
  <c r="K1002" i="8" s="1"/>
  <c r="J7" i="8"/>
  <c r="J19" i="8"/>
  <c r="J31" i="8"/>
  <c r="J43" i="8"/>
  <c r="J55" i="8"/>
  <c r="J67" i="8"/>
  <c r="J79" i="8"/>
  <c r="J91" i="8"/>
  <c r="J103" i="8"/>
  <c r="K103" i="8" s="1"/>
  <c r="J115" i="8"/>
  <c r="K115" i="8" s="1"/>
  <c r="J127" i="8"/>
  <c r="K127" i="8" s="1"/>
  <c r="J139" i="8"/>
  <c r="K139" i="8" s="1"/>
  <c r="J151" i="8"/>
  <c r="K151" i="8" s="1"/>
  <c r="J163" i="8"/>
  <c r="K163" i="8" s="1"/>
  <c r="J175" i="8"/>
  <c r="K175" i="8" s="1"/>
  <c r="J187" i="8"/>
  <c r="K187" i="8" s="1"/>
  <c r="J199" i="8"/>
  <c r="K199" i="8" s="1"/>
  <c r="J211" i="8"/>
  <c r="K211" i="8" s="1"/>
  <c r="J223" i="8"/>
  <c r="K223" i="8" s="1"/>
  <c r="J235" i="8"/>
  <c r="K235" i="8" s="1"/>
  <c r="J247" i="8"/>
  <c r="K247" i="8" s="1"/>
  <c r="J259" i="8"/>
  <c r="K259" i="8" s="1"/>
  <c r="J271" i="8"/>
  <c r="K271" i="8" s="1"/>
  <c r="J283" i="8"/>
  <c r="K283" i="8" s="1"/>
  <c r="J295" i="8"/>
  <c r="K295" i="8" s="1"/>
  <c r="J307" i="8"/>
  <c r="K307" i="8" s="1"/>
  <c r="J319" i="8"/>
  <c r="K319" i="8" s="1"/>
  <c r="J331" i="8"/>
  <c r="K331" i="8" s="1"/>
  <c r="J343" i="8"/>
  <c r="K343" i="8" s="1"/>
  <c r="J355" i="8"/>
  <c r="K355" i="8" s="1"/>
  <c r="J367" i="8"/>
  <c r="K367" i="8" s="1"/>
  <c r="J379" i="8"/>
  <c r="K379" i="8" s="1"/>
  <c r="J391" i="8"/>
  <c r="K391" i="8" s="1"/>
  <c r="J403" i="8"/>
  <c r="K403" i="8" s="1"/>
  <c r="J415" i="8"/>
  <c r="K415" i="8" s="1"/>
  <c r="J427" i="8"/>
  <c r="K427" i="8" s="1"/>
  <c r="J439" i="8"/>
  <c r="K439" i="8" s="1"/>
  <c r="J451" i="8"/>
  <c r="K451" i="8" s="1"/>
  <c r="J463" i="8"/>
  <c r="K463" i="8" s="1"/>
  <c r="J475" i="8"/>
  <c r="K475" i="8" s="1"/>
  <c r="J487" i="8"/>
  <c r="K487" i="8" s="1"/>
  <c r="J499" i="8"/>
  <c r="K499" i="8" s="1"/>
  <c r="J511" i="8"/>
  <c r="K511" i="8" s="1"/>
  <c r="J523" i="8"/>
  <c r="K523" i="8" s="1"/>
  <c r="J535" i="8"/>
  <c r="K535" i="8" s="1"/>
  <c r="J547" i="8"/>
  <c r="K547" i="8" s="1"/>
  <c r="J559" i="8"/>
  <c r="K559" i="8" s="1"/>
  <c r="J571" i="8"/>
  <c r="K571" i="8" s="1"/>
  <c r="J583" i="8"/>
  <c r="K583" i="8" s="1"/>
  <c r="J595" i="8"/>
  <c r="K595" i="8" s="1"/>
  <c r="J607" i="8"/>
  <c r="K607" i="8" s="1"/>
  <c r="J619" i="8"/>
  <c r="K619" i="8" s="1"/>
  <c r="J631" i="8"/>
  <c r="K631" i="8" s="1"/>
  <c r="J643" i="8"/>
  <c r="K643" i="8" s="1"/>
  <c r="J655" i="8"/>
  <c r="K655" i="8" s="1"/>
  <c r="J667" i="8"/>
  <c r="K667" i="8" s="1"/>
  <c r="J679" i="8"/>
  <c r="K679" i="8" s="1"/>
  <c r="J691" i="8"/>
  <c r="K691" i="8" s="1"/>
  <c r="J703" i="8"/>
  <c r="K703" i="8" s="1"/>
  <c r="J715" i="8"/>
  <c r="K715" i="8" s="1"/>
  <c r="J727" i="8"/>
  <c r="K727" i="8" s="1"/>
  <c r="J739" i="8"/>
  <c r="K739" i="8" s="1"/>
  <c r="J751" i="8"/>
  <c r="K751" i="8" s="1"/>
  <c r="J763" i="8"/>
  <c r="K763" i="8" s="1"/>
  <c r="J775" i="8"/>
  <c r="K775" i="8" s="1"/>
  <c r="J787" i="8"/>
  <c r="K787" i="8" s="1"/>
  <c r="J799" i="8"/>
  <c r="K799" i="8" s="1"/>
  <c r="J811" i="8"/>
  <c r="K811" i="8" s="1"/>
  <c r="J823" i="8"/>
  <c r="K823" i="8" s="1"/>
  <c r="J835" i="8"/>
  <c r="K835" i="8" s="1"/>
  <c r="J847" i="8"/>
  <c r="K847" i="8" s="1"/>
  <c r="J859" i="8"/>
  <c r="K859" i="8" s="1"/>
  <c r="J871" i="8"/>
  <c r="K871" i="8" s="1"/>
  <c r="J883" i="8"/>
  <c r="K883" i="8" s="1"/>
  <c r="J895" i="8"/>
  <c r="K895" i="8" s="1"/>
  <c r="J907" i="8"/>
  <c r="K907" i="8" s="1"/>
  <c r="J919" i="8"/>
  <c r="K919" i="8" s="1"/>
  <c r="J931" i="8"/>
  <c r="K931" i="8" s="1"/>
  <c r="J943" i="8"/>
  <c r="K943" i="8" s="1"/>
  <c r="J955" i="8"/>
  <c r="K955" i="8" s="1"/>
  <c r="J967" i="8"/>
  <c r="K967" i="8" s="1"/>
  <c r="J979" i="8"/>
  <c r="K979" i="8" s="1"/>
  <c r="J991" i="8"/>
  <c r="K991" i="8" s="1"/>
  <c r="J8" i="8"/>
  <c r="J20" i="8"/>
  <c r="J32" i="8"/>
  <c r="J44" i="8"/>
  <c r="J56" i="8"/>
  <c r="J68" i="8"/>
  <c r="J80" i="8"/>
  <c r="J92" i="8"/>
  <c r="J104" i="8"/>
  <c r="K104" i="8" s="1"/>
  <c r="J116" i="8"/>
  <c r="K116" i="8" s="1"/>
  <c r="J128" i="8"/>
  <c r="K128" i="8" s="1"/>
  <c r="J140" i="8"/>
  <c r="K140" i="8" s="1"/>
  <c r="J152" i="8"/>
  <c r="K152" i="8" s="1"/>
  <c r="J164" i="8"/>
  <c r="K164" i="8" s="1"/>
  <c r="J176" i="8"/>
  <c r="K176" i="8" s="1"/>
  <c r="J188" i="8"/>
  <c r="K188" i="8" s="1"/>
  <c r="J200" i="8"/>
  <c r="K200" i="8" s="1"/>
  <c r="J212" i="8"/>
  <c r="K212" i="8" s="1"/>
  <c r="J224" i="8"/>
  <c r="K224" i="8" s="1"/>
  <c r="J236" i="8"/>
  <c r="K236" i="8" s="1"/>
  <c r="J248" i="8"/>
  <c r="K248" i="8" s="1"/>
  <c r="J260" i="8"/>
  <c r="K260" i="8" s="1"/>
  <c r="J272" i="8"/>
  <c r="K272" i="8" s="1"/>
  <c r="J284" i="8"/>
  <c r="K284" i="8" s="1"/>
  <c r="J296" i="8"/>
  <c r="K296" i="8" s="1"/>
  <c r="J308" i="8"/>
  <c r="K308" i="8" s="1"/>
  <c r="J320" i="8"/>
  <c r="K320" i="8" s="1"/>
  <c r="J332" i="8"/>
  <c r="K332" i="8" s="1"/>
  <c r="J344" i="8"/>
  <c r="K344" i="8" s="1"/>
  <c r="J356" i="8"/>
  <c r="K356" i="8" s="1"/>
  <c r="J368" i="8"/>
  <c r="K368" i="8" s="1"/>
  <c r="J380" i="8"/>
  <c r="K380" i="8" s="1"/>
  <c r="J392" i="8"/>
  <c r="K392" i="8" s="1"/>
  <c r="J404" i="8"/>
  <c r="K404" i="8" s="1"/>
  <c r="J416" i="8"/>
  <c r="K416" i="8" s="1"/>
  <c r="J428" i="8"/>
  <c r="K428" i="8" s="1"/>
  <c r="J440" i="8"/>
  <c r="K440" i="8" s="1"/>
  <c r="J452" i="8"/>
  <c r="K452" i="8" s="1"/>
  <c r="J464" i="8"/>
  <c r="K464" i="8" s="1"/>
  <c r="J476" i="8"/>
  <c r="K476" i="8" s="1"/>
  <c r="J488" i="8"/>
  <c r="K488" i="8" s="1"/>
  <c r="J500" i="8"/>
  <c r="K500" i="8" s="1"/>
  <c r="J512" i="8"/>
  <c r="K512" i="8" s="1"/>
  <c r="J524" i="8"/>
  <c r="K524" i="8" s="1"/>
  <c r="J536" i="8"/>
  <c r="K536" i="8" s="1"/>
  <c r="J548" i="8"/>
  <c r="K548" i="8" s="1"/>
  <c r="J560" i="8"/>
  <c r="K560" i="8" s="1"/>
  <c r="J572" i="8"/>
  <c r="K572" i="8" s="1"/>
  <c r="J584" i="8"/>
  <c r="K584" i="8" s="1"/>
  <c r="J596" i="8"/>
  <c r="K596" i="8" s="1"/>
  <c r="J608" i="8"/>
  <c r="K608" i="8" s="1"/>
  <c r="J620" i="8"/>
  <c r="K620" i="8" s="1"/>
  <c r="J632" i="8"/>
  <c r="K632" i="8" s="1"/>
  <c r="J644" i="8"/>
  <c r="K644" i="8" s="1"/>
  <c r="J656" i="8"/>
  <c r="K656" i="8" s="1"/>
  <c r="J668" i="8"/>
  <c r="K668" i="8" s="1"/>
  <c r="J680" i="8"/>
  <c r="K680" i="8" s="1"/>
  <c r="J692" i="8"/>
  <c r="K692" i="8" s="1"/>
  <c r="J704" i="8"/>
  <c r="K704" i="8" s="1"/>
  <c r="J716" i="8"/>
  <c r="K716" i="8" s="1"/>
  <c r="J728" i="8"/>
  <c r="K728" i="8" s="1"/>
  <c r="J740" i="8"/>
  <c r="K740" i="8" s="1"/>
  <c r="J752" i="8"/>
  <c r="K752" i="8" s="1"/>
  <c r="J764" i="8"/>
  <c r="K764" i="8" s="1"/>
  <c r="J776" i="8"/>
  <c r="K776" i="8" s="1"/>
  <c r="J788" i="8"/>
  <c r="K788" i="8" s="1"/>
  <c r="J800" i="8"/>
  <c r="K800" i="8" s="1"/>
  <c r="J812" i="8"/>
  <c r="K812" i="8" s="1"/>
  <c r="J824" i="8"/>
  <c r="K824" i="8" s="1"/>
  <c r="J836" i="8"/>
  <c r="K836" i="8" s="1"/>
  <c r="J848" i="8"/>
  <c r="K848" i="8" s="1"/>
  <c r="J860" i="8"/>
  <c r="K860" i="8" s="1"/>
  <c r="J872" i="8"/>
  <c r="K872" i="8" s="1"/>
  <c r="J884" i="8"/>
  <c r="K884" i="8" s="1"/>
  <c r="J896" i="8"/>
  <c r="K896" i="8" s="1"/>
  <c r="J908" i="8"/>
  <c r="K908" i="8" s="1"/>
  <c r="J920" i="8"/>
  <c r="K920" i="8" s="1"/>
  <c r="J932" i="8"/>
  <c r="K932" i="8" s="1"/>
  <c r="J944" i="8"/>
  <c r="K944" i="8" s="1"/>
  <c r="J956" i="8"/>
  <c r="K956" i="8" s="1"/>
  <c r="J968" i="8"/>
  <c r="K968" i="8" s="1"/>
  <c r="J980" i="8"/>
  <c r="K980" i="8" s="1"/>
  <c r="J992" i="8"/>
  <c r="K992" i="8" s="1"/>
  <c r="J76" i="8"/>
  <c r="J160" i="8"/>
  <c r="K160" i="8" s="1"/>
  <c r="J9" i="8"/>
  <c r="J21" i="8"/>
  <c r="J33" i="8"/>
  <c r="J45" i="8"/>
  <c r="J57" i="8"/>
  <c r="J69" i="8"/>
  <c r="J81" i="8"/>
  <c r="J93" i="8"/>
  <c r="J105" i="8"/>
  <c r="K105" i="8" s="1"/>
  <c r="J117" i="8"/>
  <c r="K117" i="8" s="1"/>
  <c r="J129" i="8"/>
  <c r="K129" i="8" s="1"/>
  <c r="J141" i="8"/>
  <c r="K141" i="8" s="1"/>
  <c r="J153" i="8"/>
  <c r="K153" i="8" s="1"/>
  <c r="J165" i="8"/>
  <c r="K165" i="8" s="1"/>
  <c r="J177" i="8"/>
  <c r="K177" i="8" s="1"/>
  <c r="J189" i="8"/>
  <c r="K189" i="8" s="1"/>
  <c r="J201" i="8"/>
  <c r="K201" i="8" s="1"/>
  <c r="J213" i="8"/>
  <c r="K213" i="8" s="1"/>
  <c r="J225" i="8"/>
  <c r="K225" i="8" s="1"/>
  <c r="J237" i="8"/>
  <c r="K237" i="8" s="1"/>
  <c r="J249" i="8"/>
  <c r="K249" i="8" s="1"/>
  <c r="J261" i="8"/>
  <c r="K261" i="8" s="1"/>
  <c r="J273" i="8"/>
  <c r="K273" i="8" s="1"/>
  <c r="J285" i="8"/>
  <c r="K285" i="8" s="1"/>
  <c r="J297" i="8"/>
  <c r="K297" i="8" s="1"/>
  <c r="J309" i="8"/>
  <c r="K309" i="8" s="1"/>
  <c r="J321" i="8"/>
  <c r="K321" i="8" s="1"/>
  <c r="J333" i="8"/>
  <c r="K333" i="8" s="1"/>
  <c r="J345" i="8"/>
  <c r="K345" i="8" s="1"/>
  <c r="J357" i="8"/>
  <c r="K357" i="8" s="1"/>
  <c r="J369" i="8"/>
  <c r="K369" i="8" s="1"/>
  <c r="J381" i="8"/>
  <c r="K381" i="8" s="1"/>
  <c r="J393" i="8"/>
  <c r="K393" i="8" s="1"/>
  <c r="J405" i="8"/>
  <c r="K405" i="8" s="1"/>
  <c r="J417" i="8"/>
  <c r="K417" i="8" s="1"/>
  <c r="J429" i="8"/>
  <c r="K429" i="8" s="1"/>
  <c r="J441" i="8"/>
  <c r="K441" i="8" s="1"/>
  <c r="J453" i="8"/>
  <c r="K453" i="8" s="1"/>
  <c r="J465" i="8"/>
  <c r="K465" i="8" s="1"/>
  <c r="J477" i="8"/>
  <c r="K477" i="8" s="1"/>
  <c r="J489" i="8"/>
  <c r="K489" i="8" s="1"/>
  <c r="J501" i="8"/>
  <c r="K501" i="8" s="1"/>
  <c r="J513" i="8"/>
  <c r="K513" i="8" s="1"/>
  <c r="J525" i="8"/>
  <c r="K525" i="8" s="1"/>
  <c r="J537" i="8"/>
  <c r="K537" i="8" s="1"/>
  <c r="J549" i="8"/>
  <c r="K549" i="8" s="1"/>
  <c r="J561" i="8"/>
  <c r="K561" i="8" s="1"/>
  <c r="J573" i="8"/>
  <c r="K573" i="8" s="1"/>
  <c r="J585" i="8"/>
  <c r="K585" i="8" s="1"/>
  <c r="J597" i="8"/>
  <c r="K597" i="8" s="1"/>
  <c r="J609" i="8"/>
  <c r="K609" i="8" s="1"/>
  <c r="J621" i="8"/>
  <c r="K621" i="8" s="1"/>
  <c r="J633" i="8"/>
  <c r="K633" i="8" s="1"/>
  <c r="J645" i="8"/>
  <c r="K645" i="8" s="1"/>
  <c r="J657" i="8"/>
  <c r="K657" i="8" s="1"/>
  <c r="J669" i="8"/>
  <c r="K669" i="8" s="1"/>
  <c r="J681" i="8"/>
  <c r="K681" i="8" s="1"/>
  <c r="J693" i="8"/>
  <c r="K693" i="8" s="1"/>
  <c r="J705" i="8"/>
  <c r="K705" i="8" s="1"/>
  <c r="J717" i="8"/>
  <c r="K717" i="8" s="1"/>
  <c r="J729" i="8"/>
  <c r="K729" i="8" s="1"/>
  <c r="J741" i="8"/>
  <c r="K741" i="8" s="1"/>
  <c r="J753" i="8"/>
  <c r="K753" i="8" s="1"/>
  <c r="J765" i="8"/>
  <c r="K765" i="8" s="1"/>
  <c r="J777" i="8"/>
  <c r="K777" i="8" s="1"/>
  <c r="J789" i="8"/>
  <c r="K789" i="8" s="1"/>
  <c r="J801" i="8"/>
  <c r="K801" i="8" s="1"/>
  <c r="J813" i="8"/>
  <c r="K813" i="8" s="1"/>
  <c r="J825" i="8"/>
  <c r="K825" i="8" s="1"/>
  <c r="J837" i="8"/>
  <c r="K837" i="8" s="1"/>
  <c r="J849" i="8"/>
  <c r="K849" i="8" s="1"/>
  <c r="J861" i="8"/>
  <c r="K861" i="8" s="1"/>
  <c r="J873" i="8"/>
  <c r="K873" i="8" s="1"/>
  <c r="J885" i="8"/>
  <c r="K885" i="8" s="1"/>
  <c r="J897" i="8"/>
  <c r="K897" i="8" s="1"/>
  <c r="J909" i="8"/>
  <c r="K909" i="8" s="1"/>
  <c r="J921" i="8"/>
  <c r="K921" i="8" s="1"/>
  <c r="J933" i="8"/>
  <c r="K933" i="8" s="1"/>
  <c r="J945" i="8"/>
  <c r="K945" i="8" s="1"/>
  <c r="J957" i="8"/>
  <c r="K957" i="8" s="1"/>
  <c r="J969" i="8"/>
  <c r="K969" i="8" s="1"/>
  <c r="J981" i="8"/>
  <c r="K981" i="8" s="1"/>
  <c r="J993" i="8"/>
  <c r="K993" i="8" s="1"/>
  <c r="J10" i="8"/>
  <c r="J22" i="8"/>
  <c r="J34" i="8"/>
  <c r="J46" i="8"/>
  <c r="J58" i="8"/>
  <c r="J70" i="8"/>
  <c r="J82" i="8"/>
  <c r="J94" i="8"/>
  <c r="J106" i="8"/>
  <c r="K106" i="8" s="1"/>
  <c r="J118" i="8"/>
  <c r="K118" i="8" s="1"/>
  <c r="J130" i="8"/>
  <c r="K130" i="8" s="1"/>
  <c r="J142" i="8"/>
  <c r="K142" i="8" s="1"/>
  <c r="J154" i="8"/>
  <c r="K154" i="8" s="1"/>
  <c r="J166" i="8"/>
  <c r="K166" i="8" s="1"/>
  <c r="J178" i="8"/>
  <c r="K178" i="8" s="1"/>
  <c r="J190" i="8"/>
  <c r="K190" i="8" s="1"/>
  <c r="J202" i="8"/>
  <c r="K202" i="8" s="1"/>
  <c r="J214" i="8"/>
  <c r="K214" i="8" s="1"/>
  <c r="J226" i="8"/>
  <c r="K226" i="8" s="1"/>
  <c r="J238" i="8"/>
  <c r="K238" i="8" s="1"/>
  <c r="J250" i="8"/>
  <c r="K250" i="8" s="1"/>
  <c r="J262" i="8"/>
  <c r="K262" i="8" s="1"/>
  <c r="J274" i="8"/>
  <c r="K274" i="8" s="1"/>
  <c r="J286" i="8"/>
  <c r="K286" i="8" s="1"/>
  <c r="J298" i="8"/>
  <c r="K298" i="8" s="1"/>
  <c r="J310" i="8"/>
  <c r="K310" i="8" s="1"/>
  <c r="J322" i="8"/>
  <c r="K322" i="8" s="1"/>
  <c r="J334" i="8"/>
  <c r="K334" i="8" s="1"/>
  <c r="J346" i="8"/>
  <c r="K346" i="8" s="1"/>
  <c r="J358" i="8"/>
  <c r="K358" i="8" s="1"/>
  <c r="J370" i="8"/>
  <c r="K370" i="8" s="1"/>
  <c r="J382" i="8"/>
  <c r="K382" i="8" s="1"/>
  <c r="J394" i="8"/>
  <c r="K394" i="8" s="1"/>
  <c r="J406" i="8"/>
  <c r="K406" i="8" s="1"/>
  <c r="J418" i="8"/>
  <c r="K418" i="8" s="1"/>
  <c r="J430" i="8"/>
  <c r="K430" i="8" s="1"/>
  <c r="J442" i="8"/>
  <c r="K442" i="8" s="1"/>
  <c r="J454" i="8"/>
  <c r="K454" i="8" s="1"/>
  <c r="J466" i="8"/>
  <c r="K466" i="8" s="1"/>
  <c r="J478" i="8"/>
  <c r="K478" i="8" s="1"/>
  <c r="J490" i="8"/>
  <c r="K490" i="8" s="1"/>
  <c r="J502" i="8"/>
  <c r="K502" i="8" s="1"/>
  <c r="J514" i="8"/>
  <c r="K514" i="8" s="1"/>
  <c r="J526" i="8"/>
  <c r="K526" i="8" s="1"/>
  <c r="J538" i="8"/>
  <c r="K538" i="8" s="1"/>
  <c r="J550" i="8"/>
  <c r="K550" i="8" s="1"/>
  <c r="J562" i="8"/>
  <c r="K562" i="8" s="1"/>
  <c r="J574" i="8"/>
  <c r="K574" i="8" s="1"/>
  <c r="J586" i="8"/>
  <c r="K586" i="8" s="1"/>
  <c r="J598" i="8"/>
  <c r="K598" i="8" s="1"/>
  <c r="J610" i="8"/>
  <c r="K610" i="8" s="1"/>
  <c r="J622" i="8"/>
  <c r="K622" i="8" s="1"/>
  <c r="J634" i="8"/>
  <c r="K634" i="8" s="1"/>
  <c r="J646" i="8"/>
  <c r="K646" i="8" s="1"/>
  <c r="J658" i="8"/>
  <c r="K658" i="8" s="1"/>
  <c r="J670" i="8"/>
  <c r="K670" i="8" s="1"/>
  <c r="J682" i="8"/>
  <c r="K682" i="8" s="1"/>
  <c r="J694" i="8"/>
  <c r="K694" i="8" s="1"/>
  <c r="J706" i="8"/>
  <c r="K706" i="8" s="1"/>
  <c r="J718" i="8"/>
  <c r="K718" i="8" s="1"/>
  <c r="J730" i="8"/>
  <c r="K730" i="8" s="1"/>
  <c r="J742" i="8"/>
  <c r="K742" i="8" s="1"/>
  <c r="J754" i="8"/>
  <c r="K754" i="8" s="1"/>
  <c r="J766" i="8"/>
  <c r="K766" i="8" s="1"/>
  <c r="J778" i="8"/>
  <c r="K778" i="8" s="1"/>
  <c r="J790" i="8"/>
  <c r="K790" i="8" s="1"/>
  <c r="J802" i="8"/>
  <c r="K802" i="8" s="1"/>
  <c r="J814" i="8"/>
  <c r="K814" i="8" s="1"/>
  <c r="J826" i="8"/>
  <c r="K826" i="8" s="1"/>
  <c r="J838" i="8"/>
  <c r="K838" i="8" s="1"/>
  <c r="J850" i="8"/>
  <c r="K850" i="8" s="1"/>
  <c r="J862" i="8"/>
  <c r="K862" i="8" s="1"/>
  <c r="J874" i="8"/>
  <c r="K874" i="8" s="1"/>
  <c r="J886" i="8"/>
  <c r="K886" i="8" s="1"/>
  <c r="J898" i="8"/>
  <c r="K898" i="8" s="1"/>
  <c r="J910" i="8"/>
  <c r="K910" i="8" s="1"/>
  <c r="J922" i="8"/>
  <c r="K922" i="8" s="1"/>
  <c r="J934" i="8"/>
  <c r="K934" i="8" s="1"/>
  <c r="J946" i="8"/>
  <c r="K946" i="8" s="1"/>
  <c r="J958" i="8"/>
  <c r="K958" i="8" s="1"/>
  <c r="J970" i="8"/>
  <c r="K970" i="8" s="1"/>
  <c r="J982" i="8"/>
  <c r="K982" i="8" s="1"/>
  <c r="J994" i="8"/>
  <c r="K994" i="8" s="1"/>
  <c r="J136" i="8"/>
  <c r="K136" i="8" s="1"/>
  <c r="J148" i="8"/>
  <c r="K148" i="8" s="1"/>
  <c r="J11" i="8"/>
  <c r="J23" i="8"/>
  <c r="J35" i="8"/>
  <c r="J47" i="8"/>
  <c r="J59" i="8"/>
  <c r="J71" i="8"/>
  <c r="J83" i="8"/>
  <c r="J95" i="8"/>
  <c r="J107" i="8"/>
  <c r="K107" i="8" s="1"/>
  <c r="J119" i="8"/>
  <c r="K119" i="8" s="1"/>
  <c r="J131" i="8"/>
  <c r="K131" i="8" s="1"/>
  <c r="J143" i="8"/>
  <c r="K143" i="8" s="1"/>
  <c r="J155" i="8"/>
  <c r="K155" i="8" s="1"/>
  <c r="J167" i="8"/>
  <c r="K167" i="8" s="1"/>
  <c r="J179" i="8"/>
  <c r="K179" i="8" s="1"/>
  <c r="J191" i="8"/>
  <c r="K191" i="8" s="1"/>
  <c r="J203" i="8"/>
  <c r="K203" i="8" s="1"/>
  <c r="J215" i="8"/>
  <c r="K215" i="8" s="1"/>
  <c r="J227" i="8"/>
  <c r="K227" i="8" s="1"/>
  <c r="J239" i="8"/>
  <c r="K239" i="8" s="1"/>
  <c r="J251" i="8"/>
  <c r="K251" i="8" s="1"/>
  <c r="J263" i="8"/>
  <c r="K263" i="8" s="1"/>
  <c r="J275" i="8"/>
  <c r="K275" i="8" s="1"/>
  <c r="J287" i="8"/>
  <c r="K287" i="8" s="1"/>
  <c r="J299" i="8"/>
  <c r="K299" i="8" s="1"/>
  <c r="J311" i="8"/>
  <c r="K311" i="8" s="1"/>
  <c r="J323" i="8"/>
  <c r="K323" i="8" s="1"/>
  <c r="J335" i="8"/>
  <c r="K335" i="8" s="1"/>
  <c r="J347" i="8"/>
  <c r="K347" i="8" s="1"/>
  <c r="J359" i="8"/>
  <c r="K359" i="8" s="1"/>
  <c r="J371" i="8"/>
  <c r="K371" i="8" s="1"/>
  <c r="J383" i="8"/>
  <c r="K383" i="8" s="1"/>
  <c r="J395" i="8"/>
  <c r="K395" i="8" s="1"/>
  <c r="J407" i="8"/>
  <c r="K407" i="8" s="1"/>
  <c r="J419" i="8"/>
  <c r="K419" i="8" s="1"/>
  <c r="J431" i="8"/>
  <c r="K431" i="8" s="1"/>
  <c r="J443" i="8"/>
  <c r="K443" i="8" s="1"/>
  <c r="J455" i="8"/>
  <c r="K455" i="8" s="1"/>
  <c r="J467" i="8"/>
  <c r="K467" i="8" s="1"/>
  <c r="J479" i="8"/>
  <c r="K479" i="8" s="1"/>
  <c r="J491" i="8"/>
  <c r="K491" i="8" s="1"/>
  <c r="J503" i="8"/>
  <c r="K503" i="8" s="1"/>
  <c r="J515" i="8"/>
  <c r="K515" i="8" s="1"/>
  <c r="J527" i="8"/>
  <c r="K527" i="8" s="1"/>
  <c r="J539" i="8"/>
  <c r="K539" i="8" s="1"/>
  <c r="J551" i="8"/>
  <c r="K551" i="8" s="1"/>
  <c r="J563" i="8"/>
  <c r="K563" i="8" s="1"/>
  <c r="J575" i="8"/>
  <c r="K575" i="8" s="1"/>
  <c r="J587" i="8"/>
  <c r="K587" i="8" s="1"/>
  <c r="J599" i="8"/>
  <c r="K599" i="8" s="1"/>
  <c r="J611" i="8"/>
  <c r="K611" i="8" s="1"/>
  <c r="J623" i="8"/>
  <c r="K623" i="8" s="1"/>
  <c r="J635" i="8"/>
  <c r="K635" i="8" s="1"/>
  <c r="J647" i="8"/>
  <c r="K647" i="8" s="1"/>
  <c r="J659" i="8"/>
  <c r="K659" i="8" s="1"/>
  <c r="J671" i="8"/>
  <c r="K671" i="8" s="1"/>
  <c r="J683" i="8"/>
  <c r="K683" i="8" s="1"/>
  <c r="J695" i="8"/>
  <c r="K695" i="8" s="1"/>
  <c r="J707" i="8"/>
  <c r="K707" i="8" s="1"/>
  <c r="J719" i="8"/>
  <c r="K719" i="8" s="1"/>
  <c r="J731" i="8"/>
  <c r="K731" i="8" s="1"/>
  <c r="J743" i="8"/>
  <c r="K743" i="8" s="1"/>
  <c r="J755" i="8"/>
  <c r="K755" i="8" s="1"/>
  <c r="J767" i="8"/>
  <c r="K767" i="8" s="1"/>
  <c r="J779" i="8"/>
  <c r="K779" i="8" s="1"/>
  <c r="J791" i="8"/>
  <c r="K791" i="8" s="1"/>
  <c r="J803" i="8"/>
  <c r="K803" i="8" s="1"/>
  <c r="J815" i="8"/>
  <c r="K815" i="8" s="1"/>
  <c r="J827" i="8"/>
  <c r="K827" i="8" s="1"/>
  <c r="J839" i="8"/>
  <c r="K839" i="8" s="1"/>
  <c r="J851" i="8"/>
  <c r="K851" i="8" s="1"/>
  <c r="J863" i="8"/>
  <c r="K863" i="8" s="1"/>
  <c r="J875" i="8"/>
  <c r="K875" i="8" s="1"/>
  <c r="J887" i="8"/>
  <c r="K887" i="8" s="1"/>
  <c r="J899" i="8"/>
  <c r="K899" i="8" s="1"/>
  <c r="J911" i="8"/>
  <c r="K911" i="8" s="1"/>
  <c r="J923" i="8"/>
  <c r="K923" i="8" s="1"/>
  <c r="J935" i="8"/>
  <c r="K935" i="8" s="1"/>
  <c r="J947" i="8"/>
  <c r="K947" i="8" s="1"/>
  <c r="J959" i="8"/>
  <c r="K959" i="8" s="1"/>
  <c r="J971" i="8"/>
  <c r="K971" i="8" s="1"/>
  <c r="J983" i="8"/>
  <c r="K983" i="8" s="1"/>
  <c r="J995" i="8"/>
  <c r="K995" i="8" s="1"/>
  <c r="J12" i="8"/>
  <c r="J24" i="8"/>
  <c r="J36" i="8"/>
  <c r="J48" i="8"/>
  <c r="J60" i="8"/>
  <c r="J72" i="8"/>
  <c r="J84" i="8"/>
  <c r="J96" i="8"/>
  <c r="J108" i="8"/>
  <c r="K108" i="8" s="1"/>
  <c r="J120" i="8"/>
  <c r="K120" i="8" s="1"/>
  <c r="J132" i="8"/>
  <c r="K132" i="8" s="1"/>
  <c r="J144" i="8"/>
  <c r="K144" i="8" s="1"/>
  <c r="J156" i="8"/>
  <c r="K156" i="8" s="1"/>
  <c r="J168" i="8"/>
  <c r="K168" i="8" s="1"/>
  <c r="J180" i="8"/>
  <c r="K180" i="8" s="1"/>
  <c r="J192" i="8"/>
  <c r="K192" i="8" s="1"/>
  <c r="J204" i="8"/>
  <c r="K204" i="8" s="1"/>
  <c r="J216" i="8"/>
  <c r="K216" i="8" s="1"/>
  <c r="J228" i="8"/>
  <c r="K228" i="8" s="1"/>
  <c r="J240" i="8"/>
  <c r="K240" i="8" s="1"/>
  <c r="J252" i="8"/>
  <c r="K252" i="8" s="1"/>
  <c r="J264" i="8"/>
  <c r="K264" i="8" s="1"/>
  <c r="J276" i="8"/>
  <c r="K276" i="8" s="1"/>
  <c r="J288" i="8"/>
  <c r="K288" i="8" s="1"/>
  <c r="J300" i="8"/>
  <c r="K300" i="8" s="1"/>
  <c r="J312" i="8"/>
  <c r="K312" i="8" s="1"/>
  <c r="J324" i="8"/>
  <c r="K324" i="8" s="1"/>
  <c r="J336" i="8"/>
  <c r="K336" i="8" s="1"/>
  <c r="J348" i="8"/>
  <c r="K348" i="8" s="1"/>
  <c r="J360" i="8"/>
  <c r="K360" i="8" s="1"/>
  <c r="J372" i="8"/>
  <c r="K372" i="8" s="1"/>
  <c r="J384" i="8"/>
  <c r="K384" i="8" s="1"/>
  <c r="J396" i="8"/>
  <c r="K396" i="8" s="1"/>
  <c r="J408" i="8"/>
  <c r="K408" i="8" s="1"/>
  <c r="J420" i="8"/>
  <c r="K420" i="8" s="1"/>
  <c r="J432" i="8"/>
  <c r="K432" i="8" s="1"/>
  <c r="J444" i="8"/>
  <c r="K444" i="8" s="1"/>
  <c r="J456" i="8"/>
  <c r="K456" i="8" s="1"/>
  <c r="J468" i="8"/>
  <c r="K468" i="8" s="1"/>
  <c r="J480" i="8"/>
  <c r="K480" i="8" s="1"/>
  <c r="J492" i="8"/>
  <c r="K492" i="8" s="1"/>
  <c r="J504" i="8"/>
  <c r="K504" i="8" s="1"/>
  <c r="J516" i="8"/>
  <c r="K516" i="8" s="1"/>
  <c r="J528" i="8"/>
  <c r="K528" i="8" s="1"/>
  <c r="J540" i="8"/>
  <c r="K540" i="8" s="1"/>
  <c r="J552" i="8"/>
  <c r="K552" i="8" s="1"/>
  <c r="J564" i="8"/>
  <c r="K564" i="8" s="1"/>
  <c r="J576" i="8"/>
  <c r="K576" i="8" s="1"/>
  <c r="J588" i="8"/>
  <c r="K588" i="8" s="1"/>
  <c r="J600" i="8"/>
  <c r="K600" i="8" s="1"/>
  <c r="J612" i="8"/>
  <c r="K612" i="8" s="1"/>
  <c r="J624" i="8"/>
  <c r="K624" i="8" s="1"/>
  <c r="J636" i="8"/>
  <c r="K636" i="8" s="1"/>
  <c r="J648" i="8"/>
  <c r="K648" i="8" s="1"/>
  <c r="J660" i="8"/>
  <c r="K660" i="8" s="1"/>
  <c r="J672" i="8"/>
  <c r="K672" i="8" s="1"/>
  <c r="J684" i="8"/>
  <c r="K684" i="8" s="1"/>
  <c r="J696" i="8"/>
  <c r="K696" i="8" s="1"/>
  <c r="J708" i="8"/>
  <c r="K708" i="8" s="1"/>
  <c r="J720" i="8"/>
  <c r="K720" i="8" s="1"/>
  <c r="J732" i="8"/>
  <c r="K732" i="8" s="1"/>
  <c r="J744" i="8"/>
  <c r="K744" i="8" s="1"/>
  <c r="J756" i="8"/>
  <c r="K756" i="8" s="1"/>
  <c r="J768" i="8"/>
  <c r="K768" i="8" s="1"/>
  <c r="J780" i="8"/>
  <c r="K780" i="8" s="1"/>
  <c r="J792" i="8"/>
  <c r="K792" i="8" s="1"/>
  <c r="J804" i="8"/>
  <c r="K804" i="8" s="1"/>
  <c r="J816" i="8"/>
  <c r="K816" i="8" s="1"/>
  <c r="J828" i="8"/>
  <c r="K828" i="8" s="1"/>
  <c r="J840" i="8"/>
  <c r="K840" i="8" s="1"/>
  <c r="J852" i="8"/>
  <c r="K852" i="8" s="1"/>
  <c r="J864" i="8"/>
  <c r="K864" i="8" s="1"/>
  <c r="J876" i="8"/>
  <c r="K876" i="8" s="1"/>
  <c r="J888" i="8"/>
  <c r="K888" i="8" s="1"/>
  <c r="J900" i="8"/>
  <c r="K900" i="8" s="1"/>
  <c r="J912" i="8"/>
  <c r="K912" i="8" s="1"/>
  <c r="J924" i="8"/>
  <c r="K924" i="8" s="1"/>
  <c r="J936" i="8"/>
  <c r="K936" i="8" s="1"/>
  <c r="J948" i="8"/>
  <c r="K948" i="8" s="1"/>
  <c r="J960" i="8"/>
  <c r="K960" i="8" s="1"/>
  <c r="J972" i="8"/>
  <c r="K972" i="8" s="1"/>
  <c r="J984" i="8"/>
  <c r="K984" i="8" s="1"/>
  <c r="J996" i="8"/>
  <c r="K996" i="8" s="1"/>
  <c r="J13" i="8"/>
  <c r="J25" i="8"/>
  <c r="J37" i="8"/>
  <c r="J49" i="8"/>
  <c r="J61" i="8"/>
  <c r="J73" i="8"/>
  <c r="J85" i="8"/>
  <c r="J97" i="8"/>
  <c r="J109" i="8"/>
  <c r="K109" i="8" s="1"/>
  <c r="J121" i="8"/>
  <c r="K121" i="8" s="1"/>
  <c r="J133" i="8"/>
  <c r="K133" i="8" s="1"/>
  <c r="J145" i="8"/>
  <c r="K145" i="8" s="1"/>
  <c r="J157" i="8"/>
  <c r="K157" i="8" s="1"/>
  <c r="J169" i="8"/>
  <c r="K169" i="8" s="1"/>
  <c r="J181" i="8"/>
  <c r="K181" i="8" s="1"/>
  <c r="J193" i="8"/>
  <c r="K193" i="8" s="1"/>
  <c r="J205" i="8"/>
  <c r="K205" i="8" s="1"/>
  <c r="J217" i="8"/>
  <c r="K217" i="8" s="1"/>
  <c r="J229" i="8"/>
  <c r="K229" i="8" s="1"/>
  <c r="J241" i="8"/>
  <c r="K241" i="8" s="1"/>
  <c r="J253" i="8"/>
  <c r="K253" i="8" s="1"/>
  <c r="J265" i="8"/>
  <c r="K265" i="8" s="1"/>
  <c r="J277" i="8"/>
  <c r="K277" i="8" s="1"/>
  <c r="J289" i="8"/>
  <c r="K289" i="8" s="1"/>
  <c r="J301" i="8"/>
  <c r="K301" i="8" s="1"/>
  <c r="J313" i="8"/>
  <c r="K313" i="8" s="1"/>
  <c r="J325" i="8"/>
  <c r="K325" i="8" s="1"/>
  <c r="J337" i="8"/>
  <c r="K337" i="8" s="1"/>
  <c r="J349" i="8"/>
  <c r="K349" i="8" s="1"/>
  <c r="J361" i="8"/>
  <c r="K361" i="8" s="1"/>
  <c r="J373" i="8"/>
  <c r="K373" i="8" s="1"/>
  <c r="J385" i="8"/>
  <c r="K385" i="8" s="1"/>
  <c r="J397" i="8"/>
  <c r="K397" i="8" s="1"/>
  <c r="J409" i="8"/>
  <c r="K409" i="8" s="1"/>
  <c r="J421" i="8"/>
  <c r="K421" i="8" s="1"/>
  <c r="J433" i="8"/>
  <c r="K433" i="8" s="1"/>
  <c r="J445" i="8"/>
  <c r="K445" i="8" s="1"/>
  <c r="J457" i="8"/>
  <c r="K457" i="8" s="1"/>
  <c r="J469" i="8"/>
  <c r="K469" i="8" s="1"/>
  <c r="J481" i="8"/>
  <c r="K481" i="8" s="1"/>
  <c r="J493" i="8"/>
  <c r="K493" i="8" s="1"/>
  <c r="J505" i="8"/>
  <c r="K505" i="8" s="1"/>
  <c r="J517" i="8"/>
  <c r="K517" i="8" s="1"/>
  <c r="J529" i="8"/>
  <c r="K529" i="8" s="1"/>
  <c r="J541" i="8"/>
  <c r="K541" i="8" s="1"/>
  <c r="J553" i="8"/>
  <c r="K553" i="8" s="1"/>
  <c r="J565" i="8"/>
  <c r="K565" i="8" s="1"/>
  <c r="J577" i="8"/>
  <c r="K577" i="8" s="1"/>
  <c r="J589" i="8"/>
  <c r="K589" i="8" s="1"/>
  <c r="J601" i="8"/>
  <c r="K601" i="8" s="1"/>
  <c r="J613" i="8"/>
  <c r="K613" i="8" s="1"/>
  <c r="J625" i="8"/>
  <c r="K625" i="8" s="1"/>
  <c r="J637" i="8"/>
  <c r="K637" i="8" s="1"/>
  <c r="J649" i="8"/>
  <c r="K649" i="8" s="1"/>
  <c r="J661" i="8"/>
  <c r="K661" i="8" s="1"/>
  <c r="J673" i="8"/>
  <c r="K673" i="8" s="1"/>
  <c r="J685" i="8"/>
  <c r="K685" i="8" s="1"/>
  <c r="J697" i="8"/>
  <c r="K697" i="8" s="1"/>
  <c r="J709" i="8"/>
  <c r="K709" i="8" s="1"/>
  <c r="J721" i="8"/>
  <c r="K721" i="8" s="1"/>
  <c r="J733" i="8"/>
  <c r="K733" i="8" s="1"/>
  <c r="J745" i="8"/>
  <c r="K745" i="8" s="1"/>
  <c r="J757" i="8"/>
  <c r="K757" i="8" s="1"/>
  <c r="J769" i="8"/>
  <c r="K769" i="8" s="1"/>
  <c r="J781" i="8"/>
  <c r="K781" i="8" s="1"/>
  <c r="J793" i="8"/>
  <c r="K793" i="8" s="1"/>
  <c r="J805" i="8"/>
  <c r="K805" i="8" s="1"/>
  <c r="J817" i="8"/>
  <c r="K817" i="8" s="1"/>
  <c r="J829" i="8"/>
  <c r="K829" i="8" s="1"/>
  <c r="J841" i="8"/>
  <c r="K841" i="8" s="1"/>
  <c r="J853" i="8"/>
  <c r="K853" i="8" s="1"/>
  <c r="J865" i="8"/>
  <c r="K865" i="8" s="1"/>
  <c r="J877" i="8"/>
  <c r="K877" i="8" s="1"/>
  <c r="J889" i="8"/>
  <c r="K889" i="8" s="1"/>
  <c r="J901" i="8"/>
  <c r="K901" i="8" s="1"/>
  <c r="J913" i="8"/>
  <c r="K913" i="8" s="1"/>
  <c r="J925" i="8"/>
  <c r="K925" i="8" s="1"/>
  <c r="J937" i="8"/>
  <c r="K937" i="8" s="1"/>
  <c r="J949" i="8"/>
  <c r="K949" i="8" s="1"/>
  <c r="J961" i="8"/>
  <c r="K961" i="8" s="1"/>
  <c r="J973" i="8"/>
  <c r="K973" i="8" s="1"/>
  <c r="J985" i="8"/>
  <c r="K985" i="8" s="1"/>
  <c r="J997" i="8"/>
  <c r="K997" i="8" s="1"/>
  <c r="J14" i="8"/>
  <c r="J26" i="8"/>
  <c r="J38" i="8"/>
  <c r="J50" i="8"/>
  <c r="J62" i="8"/>
  <c r="J74" i="8"/>
  <c r="J86" i="8"/>
  <c r="J98" i="8"/>
  <c r="J110" i="8"/>
  <c r="K110" i="8" s="1"/>
  <c r="J122" i="8"/>
  <c r="K122" i="8" s="1"/>
  <c r="J134" i="8"/>
  <c r="K134" i="8" s="1"/>
  <c r="J146" i="8"/>
  <c r="K146" i="8" s="1"/>
  <c r="J158" i="8"/>
  <c r="K158" i="8" s="1"/>
  <c r="J170" i="8"/>
  <c r="K170" i="8" s="1"/>
  <c r="J182" i="8"/>
  <c r="K182" i="8" s="1"/>
  <c r="J194" i="8"/>
  <c r="K194" i="8" s="1"/>
  <c r="J206" i="8"/>
  <c r="K206" i="8" s="1"/>
  <c r="J218" i="8"/>
  <c r="K218" i="8" s="1"/>
  <c r="J230" i="8"/>
  <c r="K230" i="8" s="1"/>
  <c r="J242" i="8"/>
  <c r="K242" i="8" s="1"/>
  <c r="J254" i="8"/>
  <c r="K254" i="8" s="1"/>
  <c r="J266" i="8"/>
  <c r="K266" i="8" s="1"/>
  <c r="J278" i="8"/>
  <c r="K278" i="8" s="1"/>
  <c r="J290" i="8"/>
  <c r="K290" i="8" s="1"/>
  <c r="J302" i="8"/>
  <c r="K302" i="8" s="1"/>
  <c r="J314" i="8"/>
  <c r="K314" i="8" s="1"/>
  <c r="J326" i="8"/>
  <c r="K326" i="8" s="1"/>
  <c r="J338" i="8"/>
  <c r="K338" i="8" s="1"/>
  <c r="J350" i="8"/>
  <c r="K350" i="8" s="1"/>
  <c r="J362" i="8"/>
  <c r="K362" i="8" s="1"/>
  <c r="J374" i="8"/>
  <c r="K374" i="8" s="1"/>
  <c r="J386" i="8"/>
  <c r="K386" i="8" s="1"/>
  <c r="J398" i="8"/>
  <c r="K398" i="8" s="1"/>
  <c r="J410" i="8"/>
  <c r="K410" i="8" s="1"/>
  <c r="J422" i="8"/>
  <c r="K422" i="8" s="1"/>
  <c r="J434" i="8"/>
  <c r="K434" i="8" s="1"/>
  <c r="J446" i="8"/>
  <c r="K446" i="8" s="1"/>
  <c r="J458" i="8"/>
  <c r="K458" i="8" s="1"/>
  <c r="J470" i="8"/>
  <c r="K470" i="8" s="1"/>
  <c r="J482" i="8"/>
  <c r="K482" i="8" s="1"/>
  <c r="J494" i="8"/>
  <c r="K494" i="8" s="1"/>
  <c r="J506" i="8"/>
  <c r="K506" i="8" s="1"/>
  <c r="J518" i="8"/>
  <c r="K518" i="8" s="1"/>
  <c r="J530" i="8"/>
  <c r="K530" i="8" s="1"/>
  <c r="J542" i="8"/>
  <c r="K542" i="8" s="1"/>
  <c r="J554" i="8"/>
  <c r="K554" i="8" s="1"/>
  <c r="J566" i="8"/>
  <c r="K566" i="8" s="1"/>
  <c r="J578" i="8"/>
  <c r="K578" i="8" s="1"/>
  <c r="J590" i="8"/>
  <c r="K590" i="8" s="1"/>
  <c r="J602" i="8"/>
  <c r="K602" i="8" s="1"/>
  <c r="J614" i="8"/>
  <c r="K614" i="8" s="1"/>
  <c r="J626" i="8"/>
  <c r="K626" i="8" s="1"/>
  <c r="J638" i="8"/>
  <c r="K638" i="8" s="1"/>
  <c r="J650" i="8"/>
  <c r="K650" i="8" s="1"/>
  <c r="J662" i="8"/>
  <c r="K662" i="8" s="1"/>
  <c r="J674" i="8"/>
  <c r="K674" i="8" s="1"/>
  <c r="J686" i="8"/>
  <c r="K686" i="8" s="1"/>
  <c r="J698" i="8"/>
  <c r="K698" i="8" s="1"/>
  <c r="J710" i="8"/>
  <c r="K710" i="8" s="1"/>
  <c r="J722" i="8"/>
  <c r="K722" i="8" s="1"/>
  <c r="J734" i="8"/>
  <c r="K734" i="8" s="1"/>
  <c r="J746" i="8"/>
  <c r="K746" i="8" s="1"/>
  <c r="J758" i="8"/>
  <c r="K758" i="8" s="1"/>
  <c r="J770" i="8"/>
  <c r="K770" i="8" s="1"/>
  <c r="J782" i="8"/>
  <c r="K782" i="8" s="1"/>
  <c r="J794" i="8"/>
  <c r="K794" i="8" s="1"/>
  <c r="J806" i="8"/>
  <c r="K806" i="8" s="1"/>
  <c r="J818" i="8"/>
  <c r="K818" i="8" s="1"/>
  <c r="J830" i="8"/>
  <c r="K830" i="8" s="1"/>
  <c r="J842" i="8"/>
  <c r="K842" i="8" s="1"/>
  <c r="J854" i="8"/>
  <c r="K854" i="8" s="1"/>
  <c r="J866" i="8"/>
  <c r="K866" i="8" s="1"/>
  <c r="J878" i="8"/>
  <c r="K878" i="8" s="1"/>
  <c r="J890" i="8"/>
  <c r="K890" i="8" s="1"/>
  <c r="J902" i="8"/>
  <c r="K902" i="8" s="1"/>
  <c r="J914" i="8"/>
  <c r="K914" i="8" s="1"/>
  <c r="J926" i="8"/>
  <c r="K926" i="8" s="1"/>
  <c r="J938" i="8"/>
  <c r="K938" i="8" s="1"/>
  <c r="J950" i="8"/>
  <c r="K950" i="8" s="1"/>
  <c r="J962" i="8"/>
  <c r="K962" i="8" s="1"/>
  <c r="J974" i="8"/>
  <c r="K974" i="8" s="1"/>
  <c r="J986" i="8"/>
  <c r="K986" i="8" s="1"/>
  <c r="J998" i="8"/>
  <c r="K998" i="8" s="1"/>
  <c r="J15" i="8"/>
  <c r="J27" i="8"/>
  <c r="J39" i="8"/>
  <c r="J51" i="8"/>
  <c r="J63" i="8"/>
  <c r="J75" i="8"/>
  <c r="J87" i="8"/>
  <c r="J99" i="8"/>
  <c r="J111" i="8"/>
  <c r="K111" i="8" s="1"/>
  <c r="J123" i="8"/>
  <c r="K123" i="8" s="1"/>
  <c r="J135" i="8"/>
  <c r="K135" i="8" s="1"/>
  <c r="J147" i="8"/>
  <c r="K147" i="8" s="1"/>
  <c r="J159" i="8"/>
  <c r="K159" i="8" s="1"/>
  <c r="J171" i="8"/>
  <c r="K171" i="8" s="1"/>
  <c r="J183" i="8"/>
  <c r="K183" i="8" s="1"/>
  <c r="J195" i="8"/>
  <c r="K195" i="8" s="1"/>
  <c r="J207" i="8"/>
  <c r="K207" i="8" s="1"/>
  <c r="J219" i="8"/>
  <c r="K219" i="8" s="1"/>
  <c r="J231" i="8"/>
  <c r="K231" i="8" s="1"/>
  <c r="J243" i="8"/>
  <c r="K243" i="8" s="1"/>
  <c r="J255" i="8"/>
  <c r="K255" i="8" s="1"/>
  <c r="J267" i="8"/>
  <c r="K267" i="8" s="1"/>
  <c r="J279" i="8"/>
  <c r="K279" i="8" s="1"/>
  <c r="J291" i="8"/>
  <c r="K291" i="8" s="1"/>
  <c r="J303" i="8"/>
  <c r="K303" i="8" s="1"/>
  <c r="J315" i="8"/>
  <c r="K315" i="8" s="1"/>
  <c r="J327" i="8"/>
  <c r="K327" i="8" s="1"/>
  <c r="J339" i="8"/>
  <c r="K339" i="8" s="1"/>
  <c r="J351" i="8"/>
  <c r="K351" i="8" s="1"/>
  <c r="J363" i="8"/>
  <c r="K363" i="8" s="1"/>
  <c r="J375" i="8"/>
  <c r="K375" i="8" s="1"/>
  <c r="J387" i="8"/>
  <c r="K387" i="8" s="1"/>
  <c r="J399" i="8"/>
  <c r="K399" i="8" s="1"/>
  <c r="J411" i="8"/>
  <c r="K411" i="8" s="1"/>
  <c r="J423" i="8"/>
  <c r="K423" i="8" s="1"/>
  <c r="J435" i="8"/>
  <c r="K435" i="8" s="1"/>
  <c r="J447" i="8"/>
  <c r="K447" i="8" s="1"/>
  <c r="J459" i="8"/>
  <c r="K459" i="8" s="1"/>
  <c r="J471" i="8"/>
  <c r="K471" i="8" s="1"/>
  <c r="J483" i="8"/>
  <c r="K483" i="8" s="1"/>
  <c r="J495" i="8"/>
  <c r="K495" i="8" s="1"/>
  <c r="J507" i="8"/>
  <c r="K507" i="8" s="1"/>
  <c r="J519" i="8"/>
  <c r="K519" i="8" s="1"/>
  <c r="J531" i="8"/>
  <c r="K531" i="8" s="1"/>
  <c r="J543" i="8"/>
  <c r="K543" i="8" s="1"/>
  <c r="J555" i="8"/>
  <c r="K555" i="8" s="1"/>
  <c r="J567" i="8"/>
  <c r="K567" i="8" s="1"/>
  <c r="J579" i="8"/>
  <c r="K579" i="8" s="1"/>
  <c r="J591" i="8"/>
  <c r="K591" i="8" s="1"/>
  <c r="J603" i="8"/>
  <c r="K603" i="8" s="1"/>
  <c r="J615" i="8"/>
  <c r="K615" i="8" s="1"/>
  <c r="J627" i="8"/>
  <c r="K627" i="8" s="1"/>
  <c r="J639" i="8"/>
  <c r="K639" i="8" s="1"/>
  <c r="J651" i="8"/>
  <c r="K651" i="8" s="1"/>
  <c r="J663" i="8"/>
  <c r="K663" i="8" s="1"/>
  <c r="J675" i="8"/>
  <c r="K675" i="8" s="1"/>
  <c r="J687" i="8"/>
  <c r="K687" i="8" s="1"/>
  <c r="J699" i="8"/>
  <c r="K699" i="8" s="1"/>
  <c r="J711" i="8"/>
  <c r="K711" i="8" s="1"/>
  <c r="J723" i="8"/>
  <c r="K723" i="8" s="1"/>
  <c r="J735" i="8"/>
  <c r="K735" i="8" s="1"/>
  <c r="J747" i="8"/>
  <c r="K747" i="8" s="1"/>
  <c r="J759" i="8"/>
  <c r="K759" i="8" s="1"/>
  <c r="J771" i="8"/>
  <c r="K771" i="8" s="1"/>
  <c r="J783" i="8"/>
  <c r="K783" i="8" s="1"/>
  <c r="J795" i="8"/>
  <c r="K795" i="8" s="1"/>
  <c r="J807" i="8"/>
  <c r="K807" i="8" s="1"/>
  <c r="J819" i="8"/>
  <c r="K819" i="8" s="1"/>
  <c r="J831" i="8"/>
  <c r="K831" i="8" s="1"/>
  <c r="J843" i="8"/>
  <c r="K843" i="8" s="1"/>
  <c r="J855" i="8"/>
  <c r="K855" i="8" s="1"/>
  <c r="J867" i="8"/>
  <c r="K867" i="8" s="1"/>
  <c r="J879" i="8"/>
  <c r="K879" i="8" s="1"/>
  <c r="J891" i="8"/>
  <c r="K891" i="8" s="1"/>
  <c r="J903" i="8"/>
  <c r="K903" i="8" s="1"/>
  <c r="J915" i="8"/>
  <c r="K915" i="8" s="1"/>
  <c r="J927" i="8"/>
  <c r="K927" i="8" s="1"/>
  <c r="J939" i="8"/>
  <c r="K939" i="8" s="1"/>
  <c r="J951" i="8"/>
  <c r="K951" i="8" s="1"/>
  <c r="J963" i="8"/>
  <c r="K963" i="8" s="1"/>
  <c r="J975" i="8"/>
  <c r="K975" i="8" s="1"/>
  <c r="J987" i="8"/>
  <c r="K987" i="8" s="1"/>
  <c r="J999" i="8"/>
  <c r="K999" i="8" s="1"/>
  <c r="J16" i="8"/>
  <c r="J208" i="8"/>
  <c r="K208" i="8" s="1"/>
  <c r="J352" i="8"/>
  <c r="K352" i="8" s="1"/>
  <c r="J496" i="8"/>
  <c r="K496" i="8" s="1"/>
  <c r="J640" i="8"/>
  <c r="K640" i="8" s="1"/>
  <c r="J784" i="8"/>
  <c r="K784" i="8" s="1"/>
  <c r="J928" i="8"/>
  <c r="K928" i="8" s="1"/>
  <c r="J28" i="8"/>
  <c r="J220" i="8"/>
  <c r="K220" i="8" s="1"/>
  <c r="J364" i="8"/>
  <c r="K364" i="8" s="1"/>
  <c r="J508" i="8"/>
  <c r="K508" i="8" s="1"/>
  <c r="J652" i="8"/>
  <c r="K652" i="8" s="1"/>
  <c r="J796" i="8"/>
  <c r="K796" i="8" s="1"/>
  <c r="J940" i="8"/>
  <c r="K940" i="8" s="1"/>
  <c r="J40" i="8"/>
  <c r="J232" i="8"/>
  <c r="K232" i="8" s="1"/>
  <c r="J376" i="8"/>
  <c r="K376" i="8" s="1"/>
  <c r="J520" i="8"/>
  <c r="K520" i="8" s="1"/>
  <c r="J664" i="8"/>
  <c r="K664" i="8" s="1"/>
  <c r="J808" i="8"/>
  <c r="K808" i="8" s="1"/>
  <c r="J952" i="8"/>
  <c r="K952" i="8" s="1"/>
  <c r="J52" i="8"/>
  <c r="J244" i="8"/>
  <c r="K244" i="8" s="1"/>
  <c r="J388" i="8"/>
  <c r="K388" i="8" s="1"/>
  <c r="J532" i="8"/>
  <c r="K532" i="8" s="1"/>
  <c r="J676" i="8"/>
  <c r="K676" i="8" s="1"/>
  <c r="J820" i="8"/>
  <c r="K820" i="8" s="1"/>
  <c r="J964" i="8"/>
  <c r="K964" i="8" s="1"/>
  <c r="J64" i="8"/>
  <c r="J256" i="8"/>
  <c r="K256" i="8" s="1"/>
  <c r="J400" i="8"/>
  <c r="K400" i="8" s="1"/>
  <c r="J544" i="8"/>
  <c r="K544" i="8" s="1"/>
  <c r="J688" i="8"/>
  <c r="K688" i="8" s="1"/>
  <c r="J832" i="8"/>
  <c r="K832" i="8" s="1"/>
  <c r="J976" i="8"/>
  <c r="K976" i="8" s="1"/>
  <c r="J88" i="8"/>
  <c r="J268" i="8"/>
  <c r="K268" i="8" s="1"/>
  <c r="J412" i="8"/>
  <c r="K412" i="8" s="1"/>
  <c r="J556" i="8"/>
  <c r="K556" i="8" s="1"/>
  <c r="J700" i="8"/>
  <c r="K700" i="8" s="1"/>
  <c r="J844" i="8"/>
  <c r="K844" i="8" s="1"/>
  <c r="J988" i="8"/>
  <c r="K988" i="8" s="1"/>
  <c r="J100" i="8"/>
  <c r="J280" i="8"/>
  <c r="K280" i="8" s="1"/>
  <c r="J424" i="8"/>
  <c r="K424" i="8" s="1"/>
  <c r="J568" i="8"/>
  <c r="K568" i="8" s="1"/>
  <c r="J712" i="8"/>
  <c r="K712" i="8" s="1"/>
  <c r="J856" i="8"/>
  <c r="K856" i="8" s="1"/>
  <c r="J1000" i="8"/>
  <c r="K1000" i="8" s="1"/>
  <c r="J112" i="8"/>
  <c r="K112" i="8" s="1"/>
  <c r="J292" i="8"/>
  <c r="K292" i="8" s="1"/>
  <c r="J436" i="8"/>
  <c r="K436" i="8" s="1"/>
  <c r="J580" i="8"/>
  <c r="K580" i="8" s="1"/>
  <c r="J724" i="8"/>
  <c r="K724" i="8" s="1"/>
  <c r="J868" i="8"/>
  <c r="K868" i="8" s="1"/>
  <c r="J124" i="8"/>
  <c r="K124" i="8" s="1"/>
  <c r="J304" i="8"/>
  <c r="K304" i="8" s="1"/>
  <c r="J448" i="8"/>
  <c r="K448" i="8" s="1"/>
  <c r="J592" i="8"/>
  <c r="K592" i="8" s="1"/>
  <c r="J736" i="8"/>
  <c r="K736" i="8" s="1"/>
  <c r="J880" i="8"/>
  <c r="K880" i="8" s="1"/>
  <c r="J340" i="8"/>
  <c r="K340" i="8" s="1"/>
  <c r="J172" i="8"/>
  <c r="K172" i="8" s="1"/>
  <c r="J316" i="8"/>
  <c r="K316" i="8" s="1"/>
  <c r="J460" i="8"/>
  <c r="K460" i="8" s="1"/>
  <c r="J604" i="8"/>
  <c r="K604" i="8" s="1"/>
  <c r="J748" i="8"/>
  <c r="K748" i="8" s="1"/>
  <c r="J892" i="8"/>
  <c r="K892" i="8" s="1"/>
  <c r="J484" i="8"/>
  <c r="K484" i="8" s="1"/>
  <c r="J184" i="8"/>
  <c r="K184" i="8" s="1"/>
  <c r="J328" i="8"/>
  <c r="K328" i="8" s="1"/>
  <c r="J472" i="8"/>
  <c r="K472" i="8" s="1"/>
  <c r="J616" i="8"/>
  <c r="K616" i="8" s="1"/>
  <c r="J760" i="8"/>
  <c r="K760" i="8" s="1"/>
  <c r="J904" i="8"/>
  <c r="K904" i="8" s="1"/>
  <c r="J196" i="8"/>
  <c r="K196" i="8" s="1"/>
  <c r="J628" i="8"/>
  <c r="K628" i="8" s="1"/>
  <c r="J772" i="8"/>
  <c r="K772" i="8" s="1"/>
  <c r="J916" i="8"/>
  <c r="K916" i="8" s="1"/>
  <c r="J4" i="8"/>
  <c r="J3" i="8"/>
  <c r="AP10" i="6"/>
  <c r="K3" i="8" l="1"/>
  <c r="K98" i="8"/>
  <c r="K78" i="8"/>
  <c r="K58" i="8"/>
  <c r="K42" i="8"/>
  <c r="K26" i="8"/>
  <c r="K74" i="8"/>
  <c r="K87" i="8"/>
  <c r="K71" i="8"/>
  <c r="K55" i="8"/>
  <c r="K39" i="8"/>
  <c r="K23" i="8"/>
  <c r="K7" i="8"/>
  <c r="K101" i="8"/>
  <c r="K85" i="8"/>
  <c r="K69" i="8"/>
  <c r="K53" i="8"/>
  <c r="K37" i="8"/>
  <c r="K21" i="8"/>
  <c r="K5" i="8"/>
  <c r="K88" i="8"/>
  <c r="K72" i="8"/>
  <c r="K56" i="8"/>
  <c r="K40" i="8"/>
  <c r="K24" i="8"/>
  <c r="K8" i="8"/>
  <c r="K90" i="8"/>
  <c r="K70" i="8"/>
  <c r="K54" i="8"/>
  <c r="K38" i="8"/>
  <c r="K22" i="8"/>
  <c r="K99" i="8"/>
  <c r="K83" i="8"/>
  <c r="K67" i="8"/>
  <c r="K51" i="8"/>
  <c r="K35" i="8"/>
  <c r="K19" i="8"/>
  <c r="K6" i="8"/>
  <c r="K97" i="8"/>
  <c r="K81" i="8"/>
  <c r="K65" i="8"/>
  <c r="K49" i="8"/>
  <c r="K33" i="8"/>
  <c r="K17" i="8"/>
  <c r="K10" i="8"/>
  <c r="K100" i="8"/>
  <c r="K84" i="8"/>
  <c r="K68" i="8"/>
  <c r="K52" i="8"/>
  <c r="K36" i="8"/>
  <c r="K20" i="8"/>
  <c r="K4" i="8"/>
  <c r="K86" i="8"/>
  <c r="K66" i="8"/>
  <c r="K50" i="8"/>
  <c r="K34" i="8"/>
  <c r="K18" i="8"/>
  <c r="K94" i="8"/>
  <c r="K95" i="8"/>
  <c r="K79" i="8"/>
  <c r="K63" i="8"/>
  <c r="K47" i="8"/>
  <c r="K31" i="8"/>
  <c r="K15" i="8"/>
  <c r="K93" i="8"/>
  <c r="K77" i="8"/>
  <c r="K61" i="8"/>
  <c r="K45" i="8"/>
  <c r="K29" i="8"/>
  <c r="K13" i="8"/>
  <c r="K102" i="8"/>
  <c r="K30" i="8"/>
  <c r="K43" i="8"/>
  <c r="K89" i="8"/>
  <c r="K25" i="8"/>
  <c r="K96" i="8"/>
  <c r="K64" i="8"/>
  <c r="K32" i="8"/>
  <c r="K41" i="8"/>
  <c r="K82" i="8"/>
  <c r="K14" i="8"/>
  <c r="K91" i="8"/>
  <c r="K27" i="8"/>
  <c r="K73" i="8"/>
  <c r="K9" i="8"/>
  <c r="K92" i="8"/>
  <c r="K60" i="8"/>
  <c r="K28" i="8"/>
  <c r="K59" i="8"/>
  <c r="K76" i="8"/>
  <c r="K12" i="8"/>
  <c r="K62" i="8"/>
  <c r="K75" i="8"/>
  <c r="K11" i="8"/>
  <c r="K57" i="8"/>
  <c r="K80" i="8"/>
  <c r="K48" i="8"/>
  <c r="K16" i="8"/>
  <c r="K46" i="8"/>
  <c r="K44" i="8"/>
</calcChain>
</file>

<file path=xl/sharedStrings.xml><?xml version="1.0" encoding="utf-8"?>
<sst xmlns="http://schemas.openxmlformats.org/spreadsheetml/2006/main" count="44" uniqueCount="42">
  <si>
    <t>Initial Condtions</t>
  </si>
  <si>
    <t>Retirement Age</t>
  </si>
  <si>
    <t>Retirement Year</t>
  </si>
  <si>
    <t>Start Year</t>
  </si>
  <si>
    <t>Start Age</t>
  </si>
  <si>
    <t>Initial Annual Income</t>
  </si>
  <si>
    <t>Initial Annual Expenses</t>
  </si>
  <si>
    <t>Initial Savings</t>
  </si>
  <si>
    <t>Initial Investments</t>
  </si>
  <si>
    <t>Parameters</t>
  </si>
  <si>
    <t>Number of trials</t>
  </si>
  <si>
    <t>Retirement Goal</t>
  </si>
  <si>
    <t>Income</t>
  </si>
  <si>
    <t>Years</t>
  </si>
  <si>
    <t>Savings</t>
  </si>
  <si>
    <t>Investment</t>
  </si>
  <si>
    <t>Investment Return</t>
  </si>
  <si>
    <t>Expenses</t>
  </si>
  <si>
    <t>Random Income Growth Rate</t>
  </si>
  <si>
    <t>Random Expense Growth Rate</t>
  </si>
  <si>
    <t>Random Investment Return Rate</t>
  </si>
  <si>
    <t>With Simulation</t>
  </si>
  <si>
    <t>Total Investment</t>
  </si>
  <si>
    <t>Run #</t>
  </si>
  <si>
    <t>Income Growth</t>
  </si>
  <si>
    <t>Expense Growth</t>
  </si>
  <si>
    <t>Final Savings (65)</t>
  </si>
  <si>
    <t>Goal Achieved?</t>
  </si>
  <si>
    <t>Final Income (65)</t>
  </si>
  <si>
    <t>Final Expenses (65)</t>
  </si>
  <si>
    <t>Final Investments (65)</t>
  </si>
  <si>
    <t>Final Investment Return</t>
  </si>
  <si>
    <t>Random Rates</t>
  </si>
  <si>
    <t>Variable</t>
  </si>
  <si>
    <t>Mean</t>
  </si>
  <si>
    <t>Std dev</t>
  </si>
  <si>
    <t>Min</t>
  </si>
  <si>
    <t>Max</t>
  </si>
  <si>
    <t>Income Growth Rate</t>
  </si>
  <si>
    <t>Expense Growth Rate</t>
  </si>
  <si>
    <t>Inflation Rate</t>
  </si>
  <si>
    <t>Random Inflation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</si>
</sst>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&quot;R&quot;\ * #,##0.00_ ;_ &quot;R&quot;\ * \-#,##0.00_ ;_ &quot;R&quot;\ * &quot;-&quot;??_ ;_ @_ "/>
    <numFmt numFmtId="165" formatCode="&quot;R&quot;\ #,##0"/>
    <numFmt numFmtId="166" formatCode="&quot;R&quot;\ #,##0.00"/>
    <numFmt numFmtId="167" formatCode="_ &quot;R&quot;\ * #,##0_ ;_ &quot;R&quot;\ * \-#,##0_ ;_ &quot;R&quot;\ * &quot;-&quot;??_ ;_ @_ "/>
  </numFmts>
  <fonts count="1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8"/>
      <color theme="1"/>
      <name val="Verdana"/>
      <family val="2"/>
    </font>
    <font>
      <sz val="8"/>
      <color theme="1"/>
      <name val="Verdana"/>
      <family val="2"/>
    </font>
    <font>
      <sz val="11"/>
      <color theme="1"/>
      <name val="Verdana"/>
      <family val="2"/>
    </font>
    <font>
      <b/>
      <sz val="9"/>
      <color theme="1"/>
      <name val="Verdana"/>
      <family val="2"/>
    </font>
    <font>
      <sz val="9"/>
      <color theme="1"/>
      <name val="Verdana"/>
      <family val="2"/>
    </font>
    <font>
      <sz val="8"/>
      <color theme="0"/>
      <name val="Verdana"/>
      <family val="2"/>
    </font>
    <font>
      <sz val="9"/>
      <name val="Verdana"/>
      <family val="2"/>
    </font>
    <font>
      <sz val="8"/>
      <color rgb="FF00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249977111117893"/>
        <bgColor indexed="64"/>
      </patternFill>
    </fill>
  </fills>
  <borders count="9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/>
      <diagonal/>
    </border>
    <border>
      <left/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2">
    <xf numFmtId="0" fontId="0" fillId="0" borderId="0" xfId="0"/>
    <xf numFmtId="0" fontId="2" fillId="2" borderId="2" xfId="0" applyFont="1" applyFill="1" applyBorder="1"/>
    <xf numFmtId="0" fontId="2" fillId="2" borderId="2" xfId="0" applyFont="1" applyFill="1" applyBorder="1" applyAlignment="1">
      <alignment horizontal="right"/>
    </xf>
    <xf numFmtId="0" fontId="3" fillId="3" borderId="2" xfId="0" applyFont="1" applyFill="1" applyBorder="1"/>
    <xf numFmtId="0" fontId="3" fillId="3" borderId="2" xfId="0" applyFont="1" applyFill="1" applyBorder="1" applyAlignment="1">
      <alignment horizontal="right"/>
    </xf>
    <xf numFmtId="0" fontId="2" fillId="4" borderId="2" xfId="0" applyFont="1" applyFill="1" applyBorder="1"/>
    <xf numFmtId="165" fontId="2" fillId="4" borderId="2" xfId="1" applyNumberFormat="1" applyFont="1" applyFill="1" applyBorder="1" applyAlignment="1">
      <alignment horizontal="right"/>
    </xf>
    <xf numFmtId="0" fontId="3" fillId="5" borderId="2" xfId="0" applyFont="1" applyFill="1" applyBorder="1"/>
    <xf numFmtId="166" fontId="3" fillId="5" borderId="2" xfId="0" applyNumberFormat="1" applyFont="1" applyFill="1" applyBorder="1" applyAlignment="1">
      <alignment horizontal="right"/>
    </xf>
    <xf numFmtId="0" fontId="4" fillId="0" borderId="0" xfId="0" applyFont="1"/>
    <xf numFmtId="164" fontId="3" fillId="3" borderId="2" xfId="1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6" fillId="0" borderId="0" xfId="0" applyFont="1" applyAlignment="1">
      <alignment horizontal="right"/>
    </xf>
    <xf numFmtId="0" fontId="5" fillId="6" borderId="0" xfId="0" applyFont="1" applyFill="1" applyAlignment="1">
      <alignment horizontal="right"/>
    </xf>
    <xf numFmtId="167" fontId="5" fillId="6" borderId="0" xfId="0" applyNumberFormat="1" applyFont="1" applyFill="1" applyAlignment="1">
      <alignment horizontal="right"/>
    </xf>
    <xf numFmtId="0" fontId="3" fillId="0" borderId="0" xfId="0" applyFont="1"/>
    <xf numFmtId="0" fontId="2" fillId="2" borderId="1" xfId="0" applyFont="1" applyFill="1" applyBorder="1"/>
    <xf numFmtId="0" fontId="2" fillId="2" borderId="1" xfId="0" applyFont="1" applyFill="1" applyBorder="1" applyAlignment="1">
      <alignment horizontal="right"/>
    </xf>
    <xf numFmtId="0" fontId="3" fillId="0" borderId="1" xfId="0" applyFont="1" applyBorder="1"/>
    <xf numFmtId="0" fontId="2" fillId="7" borderId="0" xfId="0" applyFont="1" applyFill="1" applyAlignment="1">
      <alignment horizontal="right"/>
    </xf>
    <xf numFmtId="0" fontId="3" fillId="6" borderId="0" xfId="0" applyFont="1" applyFill="1" applyAlignment="1">
      <alignment horizontal="right"/>
    </xf>
    <xf numFmtId="167" fontId="3" fillId="0" borderId="0" xfId="1" applyNumberFormat="1" applyFont="1" applyAlignment="1">
      <alignment horizontal="right"/>
    </xf>
    <xf numFmtId="167" fontId="3" fillId="0" borderId="0" xfId="0" applyNumberFormat="1" applyFont="1" applyAlignment="1">
      <alignment horizontal="right"/>
    </xf>
    <xf numFmtId="167" fontId="3" fillId="0" borderId="0" xfId="0" applyNumberFormat="1" applyFont="1"/>
    <xf numFmtId="0" fontId="8" fillId="0" borderId="1" xfId="0" applyFont="1" applyBorder="1"/>
    <xf numFmtId="164" fontId="8" fillId="0" borderId="1" xfId="1" applyFont="1" applyBorder="1"/>
    <xf numFmtId="165" fontId="3" fillId="3" borderId="2" xfId="1" applyNumberFormat="1" applyFont="1" applyFill="1" applyBorder="1" applyAlignment="1">
      <alignment horizontal="right"/>
    </xf>
    <xf numFmtId="0" fontId="3" fillId="0" borderId="3" xfId="0" applyFont="1" applyBorder="1"/>
    <xf numFmtId="0" fontId="3" fillId="0" borderId="4" xfId="0" applyFont="1" applyBorder="1"/>
    <xf numFmtId="0" fontId="8" fillId="0" borderId="5" xfId="0" applyFont="1" applyBorder="1"/>
    <xf numFmtId="164" fontId="8" fillId="0" borderId="5" xfId="1" applyFont="1" applyBorder="1"/>
    <xf numFmtId="0" fontId="7" fillId="8" borderId="6" xfId="0" applyFont="1" applyFill="1" applyBorder="1"/>
    <xf numFmtId="0" fontId="7" fillId="8" borderId="7" xfId="0" applyFont="1" applyFill="1" applyBorder="1"/>
    <xf numFmtId="0" fontId="3" fillId="3" borderId="2" xfId="2" applyNumberFormat="1" applyFont="1" applyFill="1" applyBorder="1" applyAlignment="1">
      <alignment horizontal="right"/>
    </xf>
    <xf numFmtId="0" fontId="7" fillId="8" borderId="1" xfId="0" applyFont="1" applyFill="1" applyBorder="1"/>
    <xf numFmtId="0" fontId="3" fillId="2" borderId="8" xfId="0" applyFont="1" applyFill="1" applyBorder="1"/>
    <xf numFmtId="0" fontId="9" fillId="0" borderId="8" xfId="0" applyFont="1" applyBorder="1"/>
    <xf numFmtId="0" fontId="3" fillId="3" borderId="8" xfId="0" applyFont="1" applyFill="1" applyBorder="1"/>
    <xf numFmtId="9" fontId="3" fillId="3" borderId="8" xfId="2" applyFont="1" applyFill="1" applyBorder="1" applyAlignment="1">
      <alignment horizontal="right"/>
    </xf>
    <xf numFmtId="9" fontId="3" fillId="0" borderId="8" xfId="2" applyFont="1" applyBorder="1"/>
    <xf numFmtId="9" fontId="3" fillId="0" borderId="1" xfId="0" applyNumberFormat="1" applyFont="1" applyBorder="1"/>
    <xf numFmtId="9" fontId="3" fillId="0" borderId="1" xfId="2" applyFont="1" applyBorder="1"/>
  </cellXfs>
  <cellStyles count="3">
    <cellStyle name="Currency" xfId="1" builtinId="4"/>
    <cellStyle name="Normal" xfId="0" builtinId="0"/>
    <cellStyle name="Percent" xfId="2" builtinId="5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numFmt numFmtId="164" formatCode="_ &quot;R&quot;\ * #,##0.00_ ;_ &quot;R&quot;\ * \-#,##0.00_ ;_ &quot;R&quot;\ * &quot;-&quot;??_ ;_ @_ "/>
      <border diagonalUp="0" diagonalDown="0"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numFmt numFmtId="164" formatCode="_ &quot;R&quot;\ * #,##0.00_ ;_ &quot;R&quot;\ * \-#,##0.00_ ;_ &quot;R&quot;\ * &quot;-&quot;??_ ;_ @_ "/>
      <border diagonalUp="0" diagonalDown="0"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border diagonalUp="0" diagonalDown="0">
        <left style="thin">
          <color theme="2" tint="-0.249977111117893"/>
        </left>
        <right/>
        <top style="thin">
          <color theme="2" tint="-0.249977111117893"/>
        </top>
        <bottom style="thin">
          <color theme="2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border diagonalUp="0" diagonalDown="0"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border diagonalUp="0" diagonalDown="0"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border diagonalUp="0" diagonalDown="0"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border diagonalUp="0" diagonalDown="0"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border diagonalUp="0" diagonalDown="0"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border diagonalUp="0" diagonalDown="0"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Verdana"/>
        <family val="2"/>
        <scheme val="none"/>
      </font>
      <border diagonalUp="0" diagonalDown="0">
        <left/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  <vertical/>
        <horizontal/>
      </border>
    </dxf>
    <dxf>
      <border outline="0">
        <top style="thin">
          <color theme="2" tint="-0.249977111117893"/>
        </top>
      </border>
    </dxf>
    <dxf>
      <border outline="0"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</dxf>
    <dxf>
      <border outline="0">
        <bottom style="thin">
          <color theme="2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Verdana"/>
        <family val="2"/>
        <scheme val="none"/>
      </font>
      <fill>
        <patternFill patternType="solid">
          <fgColor indexed="64"/>
          <bgColor theme="3" tint="0.249977111117893"/>
        </patternFill>
      </fill>
      <border diagonalUp="0" diagonalDown="0" outline="0">
        <left style="thin">
          <color theme="2" tint="-0.249977111117893"/>
        </left>
        <right style="thin">
          <color theme="2" tint="-0.249977111117893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  <cx:data id="1">
      <cx:numDim type="val">
        <cx:f>_xlchart.v1.2</cx:f>
      </cx:numDim>
    </cx:data>
    <cx:data id="2">
      <cx:numDim type="val">
        <cx:f>_xlchart.v1.3</cx:f>
      </cx:numDim>
    </cx:data>
    <cx:data id="3">
      <cx:numDim type="val">
        <cx:f>_xlchart.v1.4</cx:f>
      </cx:numDim>
    </cx:data>
    <cx:data id="4">
      <cx:numDim type="val">
        <cx:f>_xlchart.v1.5</cx:f>
      </cx:numDim>
    </cx:data>
  </cx:chartData>
  <cx:chart>
    <cx:title pos="t" align="ctr" overlay="0">
      <cx:tx>
        <cx:txData>
          <cx:v>Monte Carlo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Monte Carlo</a:t>
          </a:r>
        </a:p>
      </cx:txPr>
    </cx:title>
    <cx:plotArea>
      <cx:plotAreaRegion>
        <cx:series layoutId="clusteredColumn" uniqueId="{FF723243-B5B3-4682-809B-F123D3C1C881}" formatIdx="0">
          <cx:tx>
            <cx:txData>
              <cx:f>_xlchart.v1.0</cx:f>
              <cx:v/>
            </cx:txData>
          </cx:tx>
          <cx:dataId val="0"/>
          <cx:layoutPr>
            <cx:binning intervalClosed="r"/>
          </cx:layoutPr>
        </cx:series>
        <cx:series layoutId="clusteredColumn" hidden="1" uniqueId="{D827C7E8-0D5D-4ACB-B604-7F4CD51EBA6D}" formatIdx="1">
          <cx:tx>
            <cx:txData>
              <cx:f>_xlchart.v1.0</cx:f>
              <cx:v/>
            </cx:txData>
          </cx:tx>
          <cx:dataId val="1"/>
          <cx:layoutPr>
            <cx:binning intervalClosed="r"/>
          </cx:layoutPr>
        </cx:series>
        <cx:series layoutId="clusteredColumn" hidden="1" uniqueId="{7321D1CD-0E48-4EB2-BE83-5D05F835CD2B}" formatIdx="2">
          <cx:tx>
            <cx:txData>
              <cx:f>_xlchart.v1.0</cx:f>
              <cx:v/>
            </cx:txData>
          </cx:tx>
          <cx:dataId val="2"/>
          <cx:layoutPr>
            <cx:binning intervalClosed="r"/>
          </cx:layoutPr>
        </cx:series>
        <cx:series layoutId="clusteredColumn" hidden="1" uniqueId="{ABC5192D-4A1D-42B6-8098-AB97D6313550}" formatIdx="3">
          <cx:tx>
            <cx:txData>
              <cx:f>_xlchart.v1.0</cx:f>
              <cx:v/>
            </cx:txData>
          </cx:tx>
          <cx:dataId val="3"/>
          <cx:layoutPr>
            <cx:binning intervalClosed="r"/>
          </cx:layoutPr>
        </cx:series>
        <cx:series layoutId="clusteredColumn" hidden="1" uniqueId="{F6104451-C06C-49EF-8847-ABC5A8D681E2}" formatIdx="4">
          <cx:tx>
            <cx:txData>
              <cx:f>_xlchart.v1.0</cx:f>
              <cx:v/>
            </cx:txData>
          </cx:tx>
          <cx:dataId val="4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6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466725</xdr:colOff>
      <xdr:row>1</xdr:row>
      <xdr:rowOff>28575</xdr:rowOff>
    </xdr:from>
    <xdr:to>
      <xdr:col>17</xdr:col>
      <xdr:colOff>314325</xdr:colOff>
      <xdr:row>30</xdr:row>
      <xdr:rowOff>73819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6873FB83-9982-4852-AE02-BFF914F8BA75}"/>
            </a:ext>
          </a:extLst>
        </xdr:cNvPr>
        <xdr:cNvSpPr txBox="1">
          <a:spLocks noChangeArrowheads="1"/>
        </xdr:cNvSpPr>
      </xdr:nvSpPr>
      <xdr:spPr bwMode="auto">
        <a:xfrm>
          <a:off x="466725" y="219075"/>
          <a:ext cx="10210800" cy="556974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91440" tIns="45720" rIns="91440" bIns="45720" anchor="ctr" upright="1"/>
        <a:lstStyle/>
        <a:p>
          <a:r>
            <a:rPr lang="en-US" sz="1800" b="0" u="sng">
              <a:latin typeface="Verdana" panose="020B0604030504040204" pitchFamily="34" charset="0"/>
              <a:ea typeface="Verdana" panose="020B0604030504040204" pitchFamily="34" charset="0"/>
            </a:rPr>
            <a:t>Simulation Overview</a:t>
          </a:r>
        </a:p>
        <a:p>
          <a:endParaRPr lang="en-US" sz="1800" b="0" u="sng">
            <a:latin typeface="Verdana" panose="020B0604030504040204" pitchFamily="34" charset="0"/>
            <a:ea typeface="Verdana" panose="020B0604030504040204" pitchFamily="34" charset="0"/>
          </a:endParaRPr>
        </a:p>
        <a:p>
          <a:r>
            <a:rPr lang="en-US" sz="1050"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This</a:t>
          </a:r>
          <a:r>
            <a:rPr lang="en-US" sz="1050" baseline="0"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</a:t>
          </a:r>
          <a:r>
            <a:rPr lang="en-US" sz="1050"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financial model outlines my projected financial journey from age 25 in 2025 to retirement at age 65 in 2065. It tracks income, expenses, savings, investments, and net worth over a 41-year period.</a:t>
          </a:r>
        </a:p>
        <a:p>
          <a:endParaRPr lang="en-US" sz="1050">
            <a:latin typeface="Verdana" panose="020B0604030504040204" pitchFamily="34" charset="0"/>
            <a:ea typeface="Verdana" panose="020B0604030504040204" pitchFamily="34" charset="0"/>
            <a:cs typeface="+mn-cs"/>
          </a:endParaRPr>
        </a:p>
        <a:p>
          <a:r>
            <a:rPr lang="en-US" sz="1050"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The model consists of two parts: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050"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A base case with fixed assumptions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050"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A Monte Carlo simulation introducing variability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050">
            <a:latin typeface="Verdana" panose="020B0604030504040204" pitchFamily="34" charset="0"/>
            <a:ea typeface="Verdana" panose="020B0604030504040204" pitchFamily="34" charset="0"/>
          </a:endParaRPr>
        </a:p>
        <a:p>
          <a:r>
            <a:rPr lang="en-US" sz="1200" b="0" u="sng">
              <a:latin typeface="Verdana" panose="020B0604030504040204" pitchFamily="34" charset="0"/>
              <a:ea typeface="Verdana" panose="020B0604030504040204" pitchFamily="34" charset="0"/>
            </a:rPr>
            <a:t>Base Case Assumptions</a:t>
          </a:r>
        </a:p>
        <a:p>
          <a:endParaRPr lang="en-US" sz="1200" b="0" u="sng">
            <a:latin typeface="Verdana" panose="020B0604030504040204" pitchFamily="34" charset="0"/>
            <a:ea typeface="Verdana" panose="020B0604030504040204" pitchFamily="34" charset="0"/>
          </a:endParaRP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050"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Starting annual income: R200,000 at age 25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050"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Income growth: 6% per year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050"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Initial annual expenses: R136,000, growing at 5% per year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050"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Savings: R64,000 in year one (income minus expenses)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050"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Investment return: 7% annually, compounded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050"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Inflation rate: 5%</a:t>
          </a:r>
        </a:p>
        <a:p>
          <a:pPr marL="0" indent="0">
            <a:buFont typeface="Arial" panose="020B0604020202020204" pitchFamily="34" charset="0"/>
            <a:buChar char="•"/>
          </a:pPr>
          <a:endParaRPr lang="en-US" sz="1200" b="0" u="sng">
            <a:latin typeface="Verdana" panose="020B0604030504040204" pitchFamily="34" charset="0"/>
            <a:ea typeface="Verdana" panose="020B0604030504040204" pitchFamily="34" charset="0"/>
            <a:cs typeface="+mn-cs"/>
          </a:endParaRPr>
        </a:p>
        <a:p>
          <a:pPr marL="0" indent="0"/>
          <a:r>
            <a:rPr lang="en-US" sz="1200" b="0" u="sng"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Monte Carlo Simulation</a:t>
          </a:r>
        </a:p>
        <a:p>
          <a:pPr marL="0" indent="0"/>
          <a:endParaRPr lang="en-US" sz="1050">
            <a:latin typeface="Verdana" panose="020B0604030504040204" pitchFamily="34" charset="0"/>
            <a:ea typeface="Verdana" panose="020B0604030504040204" pitchFamily="34" charset="0"/>
            <a:cs typeface="+mn-cs"/>
          </a:endParaRPr>
        </a:p>
        <a:p>
          <a:r>
            <a:rPr lang="en-US" sz="1050"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To account for uncertainty, a Monte Carlo simulation was run with 1000 scenarios. It randomly varies: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050"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Income growth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050"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Expense growth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050"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Investment return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050">
            <a:latin typeface="Verdana" panose="020B0604030504040204" pitchFamily="34" charset="0"/>
            <a:ea typeface="Verdana" panose="020B0604030504040204" pitchFamily="34" charset="0"/>
            <a:cs typeface="+mn-cs"/>
          </a:endParaRPr>
        </a:p>
        <a:p>
          <a:r>
            <a:rPr lang="en-US" sz="1050"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The target is to reach R5 million in net worth by age 65. </a:t>
          </a:r>
          <a:endParaRPr lang="en-US" sz="1200" b="0" i="0" u="none">
            <a:latin typeface="Verdana" panose="020B0604030504040204" pitchFamily="34" charset="0"/>
            <a:ea typeface="Verdana" panose="020B0604030504040204" pitchFamily="34" charset="0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12</xdr:row>
      <xdr:rowOff>180974</xdr:rowOff>
    </xdr:from>
    <xdr:to>
      <xdr:col>4</xdr:col>
      <xdr:colOff>9525</xdr:colOff>
      <xdr:row>19</xdr:row>
      <xdr:rowOff>9524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38E91462-AA8D-4E63-A132-0D8F32669FE2}"/>
            </a:ext>
          </a:extLst>
        </xdr:cNvPr>
        <xdr:cNvSpPr txBox="1">
          <a:spLocks noChangeArrowheads="1"/>
        </xdr:cNvSpPr>
      </xdr:nvSpPr>
      <xdr:spPr bwMode="auto">
        <a:xfrm>
          <a:off x="1371600" y="2352674"/>
          <a:ext cx="5248275" cy="1095375"/>
        </a:xfrm>
        <a:prstGeom prst="rect">
          <a:avLst/>
        </a:prstGeom>
        <a:ln>
          <a:solidFill>
            <a:schemeClr val="bg2">
              <a:lumMod val="90000"/>
            </a:schemeClr>
          </a:solidFill>
          <a:headEnd/>
          <a:tailE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91440" tIns="45720" rIns="91440" bIns="45720" anchor="ctr" upright="1"/>
        <a:lstStyle/>
        <a:p>
          <a:pPr algn="l" rtl="0">
            <a:lnSpc>
              <a:spcPts val="1400"/>
            </a:lnSpc>
            <a:defRPr sz="1000"/>
          </a:pPr>
          <a:r>
            <a:rPr lang="en-ZA" sz="1000" b="0" i="0">
              <a:solidFill>
                <a:schemeClr val="dk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These represent my current financial reality - my age, income, expenses, and savings capacity. I've chosen to save 32% of my income because I believe this aggressive savings rate will give me financial independence before traditional retirement age. These fixed assumptions anchor my entire analysis.</a:t>
          </a:r>
          <a:endParaRPr lang="en-US" sz="1200" b="0" i="0" u="none">
            <a:latin typeface="Verdana" panose="020B0604030504040204" pitchFamily="34" charset="0"/>
            <a:ea typeface="Verdana" panose="020B0604030504040204" pitchFamily="34" charset="0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8</xdr:row>
      <xdr:rowOff>0</xdr:rowOff>
    </xdr:from>
    <xdr:to>
      <xdr:col>6</xdr:col>
      <xdr:colOff>38101</xdr:colOff>
      <xdr:row>16</xdr:row>
      <xdr:rowOff>47625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98759D5B-36B3-4649-A7F5-F760A1BEE701}"/>
            </a:ext>
          </a:extLst>
        </xdr:cNvPr>
        <xdr:cNvSpPr txBox="1">
          <a:spLocks noChangeArrowheads="1"/>
        </xdr:cNvSpPr>
      </xdr:nvSpPr>
      <xdr:spPr bwMode="auto">
        <a:xfrm>
          <a:off x="685801" y="1447800"/>
          <a:ext cx="4038600" cy="1495425"/>
        </a:xfrm>
        <a:prstGeom prst="rect">
          <a:avLst/>
        </a:prstGeom>
        <a:ln>
          <a:solidFill>
            <a:schemeClr val="bg2">
              <a:lumMod val="90000"/>
            </a:schemeClr>
          </a:solidFill>
          <a:headEnd/>
          <a:tailE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91440" tIns="45720" rIns="91440" bIns="45720" anchor="ctr" upright="1"/>
        <a:lstStyle/>
        <a:p>
          <a:pPr algn="l" rtl="0">
            <a:lnSpc>
              <a:spcPts val="1400"/>
            </a:lnSpc>
            <a:defRPr sz="1000"/>
          </a:pPr>
          <a:r>
            <a:rPr lang="en-ZA" sz="1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 know the future won't unfold with fixed 6% income growth or exactly 7% investment returns. Markets crash, careers stagnate, and inflation surprises us. That's why I've defined probability distributions around my best estimates. My 6% income growth might range from 2% to 12% in any given year, and investment returns could swing from -10% to +25%. The standard deviations reflect my assessment of how volatile these variables might be over my 40-year journey.</a:t>
          </a:r>
          <a:endParaRPr lang="en-US" sz="1200" b="0" i="0" u="none">
            <a:latin typeface="Verdana" panose="020B0604030504040204" pitchFamily="34" charset="0"/>
            <a:ea typeface="Verdana" panose="020B0604030504040204" pitchFamily="34" charset="0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</xdr:row>
      <xdr:rowOff>0</xdr:rowOff>
    </xdr:from>
    <xdr:to>
      <xdr:col>4</xdr:col>
      <xdr:colOff>19050</xdr:colOff>
      <xdr:row>16</xdr:row>
      <xdr:rowOff>19050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19224B29-8005-4469-833B-FDA25F488E0C}"/>
            </a:ext>
          </a:extLst>
        </xdr:cNvPr>
        <xdr:cNvSpPr txBox="1">
          <a:spLocks noChangeArrowheads="1"/>
        </xdr:cNvSpPr>
      </xdr:nvSpPr>
      <xdr:spPr bwMode="auto">
        <a:xfrm>
          <a:off x="1371600" y="1628775"/>
          <a:ext cx="3705225" cy="1285875"/>
        </a:xfrm>
        <a:prstGeom prst="rect">
          <a:avLst/>
        </a:prstGeom>
        <a:ln>
          <a:solidFill>
            <a:schemeClr val="bg2">
              <a:lumMod val="90000"/>
            </a:schemeClr>
          </a:solidFill>
          <a:headEnd/>
          <a:tailE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91440" tIns="45720" rIns="91440" bIns="45720" anchor="ctr" upright="1"/>
        <a:lstStyle/>
        <a:p>
          <a:pPr algn="l" rtl="0">
            <a:lnSpc>
              <a:spcPts val="1400"/>
            </a:lnSpc>
            <a:defRPr sz="1000"/>
          </a:pPr>
          <a:r>
            <a:rPr lang="en-ZA" sz="1000" b="0" i="0">
              <a:solidFill>
                <a:schemeClr val="dk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 Instead of assuming I'll get exactly 6% income growth every year, the NORM.INV function randomly selects rates from a bell curve centered on 6%. Most years will be close to average, but some will be exceptional (good or bad). This mirrors how real careers and markets actually behave over decades.</a:t>
          </a:r>
          <a:endParaRPr lang="en-US" sz="1200" b="0" i="0" u="none">
            <a:latin typeface="Verdana" panose="020B0604030504040204" pitchFamily="34" charset="0"/>
            <a:ea typeface="Verdana" panose="020B0604030504040204" pitchFamily="34" charset="0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19051</xdr:colOff>
      <xdr:row>5</xdr:row>
      <xdr:rowOff>0</xdr:rowOff>
    </xdr:from>
    <xdr:to>
      <xdr:col>14</xdr:col>
      <xdr:colOff>38101</xdr:colOff>
      <xdr:row>10</xdr:row>
      <xdr:rowOff>123825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DA570F1C-E9A2-4A46-ADA9-91582879141E}"/>
            </a:ext>
          </a:extLst>
        </xdr:cNvPr>
        <xdr:cNvSpPr txBox="1">
          <a:spLocks noChangeArrowheads="1"/>
        </xdr:cNvSpPr>
      </xdr:nvSpPr>
      <xdr:spPr bwMode="auto">
        <a:xfrm>
          <a:off x="13039726" y="695325"/>
          <a:ext cx="1962150" cy="838200"/>
        </a:xfrm>
        <a:prstGeom prst="rect">
          <a:avLst/>
        </a:prstGeom>
        <a:ln>
          <a:headEnd/>
          <a:tailEnd/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wrap="square" lIns="91440" tIns="45720" rIns="91440" bIns="45720" anchor="ctr" upright="1"/>
        <a:lstStyle/>
        <a:p>
          <a:pPr algn="l" rtl="0">
            <a:lnSpc>
              <a:spcPts val="1400"/>
            </a:lnSpc>
            <a:defRPr sz="1000"/>
          </a:pPr>
          <a:r>
            <a:rPr lang="en-US" sz="1200">
              <a:latin typeface="Verdana" panose="020B0604030504040204" pitchFamily="34" charset="0"/>
              <a:ea typeface="Verdana" panose="020B0604030504040204" pitchFamily="34" charset="0"/>
            </a:rPr>
            <a:t>Change the value in cell N3 to update the number of simulation runs automatically.</a:t>
          </a:r>
          <a:endParaRPr lang="en-US" sz="1200" b="0" i="0" u="none">
            <a:latin typeface="Verdana" panose="020B0604030504040204" pitchFamily="34" charset="0"/>
            <a:ea typeface="Verdana" panose="020B0604030504040204" pitchFamily="34" charset="0"/>
            <a:cs typeface="+mn-cs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2</xdr:row>
      <xdr:rowOff>0</xdr:rowOff>
    </xdr:from>
    <xdr:to>
      <xdr:col>23</xdr:col>
      <xdr:colOff>352425</xdr:colOff>
      <xdr:row>28</xdr:row>
      <xdr:rowOff>152400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1971E69-5444-4CFF-82BE-2720B7F847D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1199" y="361950"/>
              <a:ext cx="14144626" cy="48577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ZA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13</xdr:col>
      <xdr:colOff>190500</xdr:colOff>
      <xdr:row>22</xdr:row>
      <xdr:rowOff>28575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3DD5E233-D27D-4014-AB08-1DA59CD8CCC7}"/>
            </a:ext>
          </a:extLst>
        </xdr:cNvPr>
        <xdr:cNvSpPr txBox="1">
          <a:spLocks noChangeArrowheads="1"/>
        </xdr:cNvSpPr>
      </xdr:nvSpPr>
      <xdr:spPr bwMode="auto">
        <a:xfrm>
          <a:off x="685800" y="361950"/>
          <a:ext cx="8420100" cy="36480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91440" tIns="45720" rIns="91440" bIns="45720" anchor="ctr" upright="1"/>
        <a:lstStyle/>
        <a:p>
          <a:r>
            <a:rPr lang="en-ZA" sz="1400" b="0" i="0"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This simulation has transformed my approach to financial planning. Instead of hoping everything will work out perfectly, I now understand the probabilities I'm facing. I know that with my current 32% savings rate, I understand my downside risks and can make informed trade-offs between present consumption and future security. The beauty of Monte Carlo simulation lies in preparing for its uncertainty. I'm no longer planning for one idealized scenario; I'm building a robust strategy that works across hundreds of possible futures. Whether markets boom or crash, whether my career soars or stagnates, I have a probabilistic roadmap that helps me make better decisions today for a more secure tomorrow. This analysis has shown me that small improvements in my savings rate create disproportionate improvements in my outcomes. Armed with this knowledge, I can optimize my financial strategy with confidence, knowing exactly what each sacrifice today means for my freedom tomorrow.</a:t>
          </a:r>
          <a:endParaRPr lang="en-US" sz="1600" b="0" i="0" u="none">
            <a:latin typeface="Verdana" panose="020B0604030504040204" pitchFamily="34" charset="0"/>
            <a:ea typeface="Verdana" panose="020B0604030504040204" pitchFamily="34" charset="0"/>
            <a:cs typeface="+mn-cs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iftx/Downloads/GM%20XIPU%20-%20220123773%20-%20Assignment%2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ction"/>
      <sheetName val="Assumptions"/>
      <sheetName val="Year Plan"/>
      <sheetName val="Sheet1"/>
      <sheetName val="Inc VS Exp_Chart"/>
      <sheetName val="Life Events"/>
      <sheetName val="Updated Expenses"/>
      <sheetName val="Visualisation"/>
      <sheetName val="Net Cash"/>
      <sheetName val="Net Chart"/>
      <sheetName val="Conclusion"/>
    </sheetNames>
    <sheetDataSet>
      <sheetData sheetId="0" refreshError="1"/>
      <sheetData sheetId="1">
        <row r="7">
          <cell r="C7">
            <v>200000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6662F2-3164-41EB-AD18-E0480227098C}" name="Table1" displayName="Table1" ref="B2:K1002" totalsRowShown="0" headerRowDxfId="17" dataDxfId="15" headerRowBorderDxfId="16" tableBorderDxfId="14" totalsRowBorderDxfId="13" dataCellStyle="Currency">
  <autoFilter ref="B2:K1002" xr:uid="{A46662F2-3164-41EB-AD18-E0480227098C}"/>
  <tableColumns count="10">
    <tableColumn id="1" xr3:uid="{65809420-70D4-4985-B6DC-ED9FB5BFD80C}" name="Run #" dataDxfId="12">
      <calculatedColumnFormula>IF(ROW()-2 &lt;=#REF!,ROW()-2, "")</calculatedColumnFormula>
    </tableColumn>
    <tableColumn id="2" xr3:uid="{C69254B0-07E7-4779-B57A-D48B0A58B9E6}" name="Income Growth" dataDxfId="11">
      <calculatedColumnFormula>MAX(0.02,MIN(0.12,_xlfn.NORM.INV(RAND(),0.06,0.02)))</calculatedColumnFormula>
    </tableColumn>
    <tableColumn id="3" xr3:uid="{3C873B55-DAE9-477F-AEF9-B83B05491B9D}" name="Expense Growth" dataDxfId="10">
      <calculatedColumnFormula>MAX(0.02,MIN(0.08,_xlfn.NORM.INV(RAND(),0.05,0.015)))</calculatedColumnFormula>
    </tableColumn>
    <tableColumn id="4" xr3:uid="{4CD05852-269A-43C3-B62F-9012E93A7F57}" name="Investment Return" dataDxfId="9">
      <calculatedColumnFormula>MAX(-0.1,MIN(0.25,_xlfn.NORM.INV(RAND(),0.07,0.04)))</calculatedColumnFormula>
    </tableColumn>
    <tableColumn id="5" xr3:uid="{3AD3A7DA-A2D3-4A80-B68F-9F3D15BF9BD2}" name="Final Income (65)" dataDxfId="4" dataCellStyle="Currency">
      <calculatedColumnFormula>'Single Simulation'!$AP$4*Results!C3</calculatedColumnFormula>
    </tableColumn>
    <tableColumn id="6" xr3:uid="{8F68B9F1-B788-4AF6-8290-377716585241}" name="Final Expenses (65)" dataDxfId="3" dataCellStyle="Currency">
      <calculatedColumnFormula>'Single Simulation'!$AP$5*Results!D3</calculatedColumnFormula>
    </tableColumn>
    <tableColumn id="7" xr3:uid="{BE4BAEA7-6C5F-444D-AE7D-5ED047496734}" name="Final Savings (65)" dataDxfId="8" dataCellStyle="Currency">
      <calculatedColumnFormula>F3-G3</calculatedColumnFormula>
    </tableColumn>
    <tableColumn id="8" xr3:uid="{A042DB23-A5BF-4C54-805A-7D2E51832533}" name="Final Investment Return" dataDxfId="7" dataCellStyle="Currency">
      <calculatedColumnFormula>H3*E3</calculatedColumnFormula>
    </tableColumn>
    <tableColumn id="9" xr3:uid="{82D3E8B5-5CF3-45CF-94BB-DDC8DA5E9573}" name="Final Investments (65)" dataDxfId="6" dataCellStyle="Currency">
      <calculatedColumnFormula>#REF!*Results!E3</calculatedColumnFormula>
    </tableColumn>
    <tableColumn id="11" xr3:uid="{B5498203-8A7A-4BFC-BB3E-E03737980161}" name="Goal Achieved?" dataDxfId="5" dataCellStyle="Currency">
      <calculatedColumnFormula>IF(J3&gt;$N$4,"Yes","No")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F0EAB-41FC-487E-8E2B-D05630AA4CE4}">
  <sheetPr codeName="Sheet1">
    <tabColor theme="1"/>
  </sheetPr>
  <dimension ref="A1"/>
  <sheetViews>
    <sheetView showGridLines="0" showRowColHeaders="0" workbookViewId="0">
      <selection activeCell="D40" sqref="D40"/>
    </sheetView>
  </sheetViews>
  <sheetFormatPr defaultRowHeight="14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1C097-3634-4469-A62C-2D25A77A2FDD}">
  <sheetPr codeName="Sheet2">
    <tabColor theme="7" tint="0.79998168889431442"/>
  </sheetPr>
  <dimension ref="C4:D12"/>
  <sheetViews>
    <sheetView showGridLines="0" showRowColHeaders="0" workbookViewId="0">
      <selection activeCell="F17" sqref="F17"/>
    </sheetView>
  </sheetViews>
  <sheetFormatPr defaultRowHeight="14.25"/>
  <cols>
    <col min="3" max="3" width="21.875" bestFit="1" customWidth="1"/>
    <col min="4" max="4" width="46.875" customWidth="1"/>
  </cols>
  <sheetData>
    <row r="4" spans="3:4">
      <c r="C4" s="1" t="s">
        <v>0</v>
      </c>
      <c r="D4" s="2"/>
    </row>
    <row r="5" spans="3:4">
      <c r="C5" s="3" t="s">
        <v>4</v>
      </c>
      <c r="D5" s="4">
        <v>25</v>
      </c>
    </row>
    <row r="6" spans="3:4">
      <c r="C6" s="3" t="s">
        <v>1</v>
      </c>
      <c r="D6" s="4">
        <v>65</v>
      </c>
    </row>
    <row r="7" spans="3:4">
      <c r="C7" s="3" t="s">
        <v>3</v>
      </c>
      <c r="D7" s="4">
        <v>2025</v>
      </c>
    </row>
    <row r="8" spans="3:4">
      <c r="C8" s="3" t="s">
        <v>2</v>
      </c>
      <c r="D8" s="4">
        <v>2065</v>
      </c>
    </row>
    <row r="9" spans="3:4">
      <c r="C9" s="5" t="s">
        <v>5</v>
      </c>
      <c r="D9" s="6">
        <v>200000</v>
      </c>
    </row>
    <row r="10" spans="3:4">
      <c r="C10" s="7" t="s">
        <v>6</v>
      </c>
      <c r="D10" s="8">
        <v>136000</v>
      </c>
    </row>
    <row r="11" spans="3:4">
      <c r="C11" s="3" t="s">
        <v>7</v>
      </c>
      <c r="D11" s="26">
        <v>64000</v>
      </c>
    </row>
    <row r="12" spans="3:4">
      <c r="C12" s="3" t="s">
        <v>8</v>
      </c>
      <c r="D12" s="26">
        <v>64000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3128E-58DD-4D86-A1D1-5BB591272F67}">
  <sheetPr>
    <tabColor theme="8" tint="0.59999389629810485"/>
  </sheetPr>
  <dimension ref="B3:F7"/>
  <sheetViews>
    <sheetView showGridLines="0" workbookViewId="0">
      <selection activeCell="J35" sqref="J35"/>
    </sheetView>
  </sheetViews>
  <sheetFormatPr defaultRowHeight="14.25"/>
  <cols>
    <col min="2" max="2" width="16.5" bestFit="1" customWidth="1"/>
    <col min="3" max="3" width="9" customWidth="1"/>
  </cols>
  <sheetData>
    <row r="3" spans="2:6">
      <c r="B3" s="35" t="s">
        <v>33</v>
      </c>
      <c r="C3" s="35" t="s">
        <v>34</v>
      </c>
      <c r="D3" s="35" t="s">
        <v>35</v>
      </c>
      <c r="E3" s="35" t="s">
        <v>36</v>
      </c>
      <c r="F3" s="35" t="s">
        <v>37</v>
      </c>
    </row>
    <row r="4" spans="2:6">
      <c r="B4" s="36" t="s">
        <v>38</v>
      </c>
      <c r="C4" s="38">
        <v>0.06</v>
      </c>
      <c r="D4" s="39">
        <v>0.02</v>
      </c>
      <c r="E4" s="39">
        <v>0.02</v>
      </c>
      <c r="F4" s="39">
        <v>0.12</v>
      </c>
    </row>
    <row r="5" spans="2:6">
      <c r="B5" s="36" t="s">
        <v>39</v>
      </c>
      <c r="C5" s="38">
        <v>0.05</v>
      </c>
      <c r="D5" s="39">
        <v>1.2E-2</v>
      </c>
      <c r="E5" s="39">
        <v>0.02</v>
      </c>
      <c r="F5" s="39">
        <v>0.08</v>
      </c>
    </row>
    <row r="6" spans="2:6">
      <c r="B6" s="37" t="s">
        <v>16</v>
      </c>
      <c r="C6" s="38">
        <v>7.0000000000000007E-2</v>
      </c>
      <c r="D6" s="39">
        <v>0.04</v>
      </c>
      <c r="E6" s="39">
        <v>-0.1</v>
      </c>
      <c r="F6" s="39">
        <v>0.25</v>
      </c>
    </row>
    <row r="7" spans="2:6">
      <c r="B7" s="37" t="s">
        <v>40</v>
      </c>
      <c r="C7" s="38">
        <v>0.05</v>
      </c>
      <c r="D7" s="39">
        <v>0.01</v>
      </c>
      <c r="E7" s="39">
        <v>0.02</v>
      </c>
      <c r="F7" s="39">
        <v>0.08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897BA-F63C-4365-80C0-126DD9DAE7A8}">
  <sheetPr codeName="Sheet6">
    <tabColor theme="5" tint="0.79998168889431442"/>
  </sheetPr>
  <dimension ref="C4:D8"/>
  <sheetViews>
    <sheetView showGridLines="0" workbookViewId="0">
      <selection activeCell="F6" sqref="F6"/>
    </sheetView>
  </sheetViews>
  <sheetFormatPr defaultRowHeight="14.25"/>
  <cols>
    <col min="3" max="3" width="27.75" bestFit="1" customWidth="1"/>
    <col min="4" max="4" width="20.625" customWidth="1"/>
  </cols>
  <sheetData>
    <row r="4" spans="3:4">
      <c r="C4" s="16" t="s">
        <v>32</v>
      </c>
      <c r="D4" s="17"/>
    </row>
    <row r="5" spans="3:4">
      <c r="C5" s="18" t="s">
        <v>18</v>
      </c>
      <c r="D5" s="40">
        <f ca="1">MAX(0.02,MIN('Monte Carlo Parameters'!F4,_xlfn.NORM.INV(RAND(),'Monte Carlo Parameters'!C4,'Monte Carlo Parameters'!D4)))</f>
        <v>5.784188423585452E-2</v>
      </c>
    </row>
    <row r="6" spans="3:4">
      <c r="C6" s="18" t="s">
        <v>19</v>
      </c>
      <c r="D6" s="41">
        <f ca="1">MAX(0.02,MIN('Monte Carlo Parameters'!F7,_xlfn.NORM.INV(RAND(),'Monte Carlo Parameters'!C5,'Monte Carlo Parameters'!D5)))</f>
        <v>4.9680356726640423E-2</v>
      </c>
    </row>
    <row r="7" spans="3:4">
      <c r="C7" s="18" t="s">
        <v>20</v>
      </c>
      <c r="D7" s="40">
        <f ca="1">MAX('Monte Carlo Parameters'!E6,MIN('Monte Carlo Parameters'!F6,_xlfn.NORM.INV(RAND(),'Monte Carlo Parameters'!C6,'Monte Carlo Parameters'!D6)))</f>
        <v>7.0140109396250608E-2</v>
      </c>
    </row>
    <row r="8" spans="3:4">
      <c r="C8" s="18" t="s">
        <v>41</v>
      </c>
      <c r="D8" s="40">
        <f ca="1">MAX(0.02,MIN('Monte Carlo Parameters'!F7,_xlfn.NORM.INV(RAND(),'Monte Carlo Parameters'!C7,'Monte Carlo Parameters'!D7)))</f>
        <v>3.9127581814306769E-2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A20E4-9943-43DF-8955-9077C1F3CC52}">
  <sheetPr codeName="Sheet7">
    <tabColor theme="5" tint="0.59999389629810485"/>
  </sheetPr>
  <dimension ref="A2:AP10"/>
  <sheetViews>
    <sheetView showGridLines="0" workbookViewId="0">
      <selection activeCell="F35" sqref="F35"/>
    </sheetView>
  </sheetViews>
  <sheetFormatPr defaultColWidth="9.125" defaultRowHeight="14.25"/>
  <cols>
    <col min="1" max="1" width="17.625" style="9" bestFit="1" customWidth="1"/>
    <col min="2" max="2" width="10.375" style="9" bestFit="1" customWidth="1"/>
    <col min="3" max="7" width="12.625" style="9" bestFit="1" customWidth="1"/>
    <col min="8" max="24" width="14.625" style="9" bestFit="1" customWidth="1"/>
    <col min="25" max="42" width="15.875" style="9" bestFit="1" customWidth="1"/>
    <col min="43" max="16384" width="9.125" style="9"/>
  </cols>
  <sheetData>
    <row r="2" spans="1:42">
      <c r="A2" s="19" t="s">
        <v>21</v>
      </c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</row>
    <row r="3" spans="1:42">
      <c r="A3" s="20" t="s">
        <v>13</v>
      </c>
      <c r="B3" s="20">
        <v>2025</v>
      </c>
      <c r="C3" s="20">
        <v>2026</v>
      </c>
      <c r="D3" s="20">
        <v>2027</v>
      </c>
      <c r="E3" s="20">
        <v>2028</v>
      </c>
      <c r="F3" s="20">
        <v>2029</v>
      </c>
      <c r="G3" s="20">
        <v>2030</v>
      </c>
      <c r="H3" s="20">
        <v>2031</v>
      </c>
      <c r="I3" s="20">
        <v>2032</v>
      </c>
      <c r="J3" s="20">
        <v>2033</v>
      </c>
      <c r="K3" s="20">
        <v>2034</v>
      </c>
      <c r="L3" s="20">
        <v>2035</v>
      </c>
      <c r="M3" s="20">
        <v>2036</v>
      </c>
      <c r="N3" s="20">
        <v>2037</v>
      </c>
      <c r="O3" s="20">
        <v>2038</v>
      </c>
      <c r="P3" s="20">
        <v>2039</v>
      </c>
      <c r="Q3" s="20">
        <v>2040</v>
      </c>
      <c r="R3" s="20">
        <v>2041</v>
      </c>
      <c r="S3" s="20">
        <v>2042</v>
      </c>
      <c r="T3" s="20">
        <v>2043</v>
      </c>
      <c r="U3" s="20">
        <v>2044</v>
      </c>
      <c r="V3" s="20">
        <v>2045</v>
      </c>
      <c r="W3" s="20">
        <v>2046</v>
      </c>
      <c r="X3" s="20">
        <v>2047</v>
      </c>
      <c r="Y3" s="20">
        <v>2048</v>
      </c>
      <c r="Z3" s="20">
        <v>2049</v>
      </c>
      <c r="AA3" s="20">
        <v>2050</v>
      </c>
      <c r="AB3" s="20">
        <v>2051</v>
      </c>
      <c r="AC3" s="20">
        <v>2052</v>
      </c>
      <c r="AD3" s="20">
        <v>2053</v>
      </c>
      <c r="AE3" s="20">
        <v>2054</v>
      </c>
      <c r="AF3" s="20">
        <v>2055</v>
      </c>
      <c r="AG3" s="20">
        <v>2056</v>
      </c>
      <c r="AH3" s="20">
        <v>2057</v>
      </c>
      <c r="AI3" s="20">
        <v>2058</v>
      </c>
      <c r="AJ3" s="20">
        <v>2059</v>
      </c>
      <c r="AK3" s="20">
        <v>2060</v>
      </c>
      <c r="AL3" s="20">
        <v>2061</v>
      </c>
      <c r="AM3" s="20">
        <v>2062</v>
      </c>
      <c r="AN3" s="20">
        <v>2063</v>
      </c>
      <c r="AO3" s="20">
        <v>2064</v>
      </c>
      <c r="AP3" s="20">
        <v>2065</v>
      </c>
    </row>
    <row r="4" spans="1:42">
      <c r="A4" s="11" t="s">
        <v>12</v>
      </c>
      <c r="B4" s="21">
        <f>[1]Assumptions!C7</f>
        <v>200000</v>
      </c>
      <c r="C4" s="22">
        <f ca="1">B4*(1+Simulations!$D$5)</f>
        <v>211568.3768471709</v>
      </c>
      <c r="D4" s="22">
        <f ca="1">C4*(1+Simulations!$D$5)</f>
        <v>223805.89040873261</v>
      </c>
      <c r="E4" s="22">
        <f ca="1">D4*(1+Simulations!$D$5)</f>
        <v>236751.24481305687</v>
      </c>
      <c r="F4" s="22">
        <f ca="1">E4*(1+Simulations!$D$5)</f>
        <v>250445.38290822817</v>
      </c>
      <c r="G4" s="22">
        <f ca="1">F4*(1+Simulations!$D$5)</f>
        <v>264931.61575381015</v>
      </c>
      <c r="H4" s="22">
        <f ca="1">G4*(1+Simulations!$D$5)</f>
        <v>280255.75960265996</v>
      </c>
      <c r="I4" s="22">
        <f ca="1">H4*(1+Simulations!$D$5)</f>
        <v>296466.28080602852</v>
      </c>
      <c r="J4" s="22">
        <f ca="1">I4*(1+Simulations!$D$5)</f>
        <v>313614.4491002452</v>
      </c>
      <c r="K4" s="22">
        <f ca="1">J4*(1+Simulations!$D$5)</f>
        <v>331754.49975979287</v>
      </c>
      <c r="L4" s="22">
        <f ca="1">K4*(1+Simulations!$D$5)</f>
        <v>350943.80512962263</v>
      </c>
      <c r="M4" s="22">
        <f ca="1">L4*(1+Simulations!$D$5)</f>
        <v>371243.05607922055</v>
      </c>
      <c r="N4" s="22">
        <f ca="1">M4*(1+Simulations!$D$5)</f>
        <v>392716.45395231969</v>
      </c>
      <c r="O4" s="22">
        <f ca="1">N4*(1+Simulations!$D$5)</f>
        <v>415431.91361934505</v>
      </c>
      <c r="P4" s="22">
        <f ca="1">O4*(1+Simulations!$D$5)</f>
        <v>439461.27827479475</v>
      </c>
      <c r="Q4" s="22">
        <f ca="1">P4*(1+Simulations!$D$5)</f>
        <v>464880.5466589061</v>
      </c>
      <c r="R4" s="22">
        <f ca="1">Q4*(1+Simulations!$D$5)</f>
        <v>491770.11342225131</v>
      </c>
      <c r="S4" s="22">
        <f ca="1">R4*(1+Simulations!$D$5)</f>
        <v>520215.02339347423</v>
      </c>
      <c r="T4" s="22">
        <f ca="1">S4*(1+Simulations!$D$5)</f>
        <v>550305.24055435194</v>
      </c>
      <c r="U4" s="22">
        <f ca="1">T4*(1+Simulations!$D$5)</f>
        <v>582135.93257288088</v>
      </c>
      <c r="V4" s="22">
        <f ca="1">U4*(1+Simulations!$D$5)</f>
        <v>615807.77179429273</v>
      </c>
      <c r="W4" s="22">
        <f ca="1">V4*(1+Simulations!$D$5)</f>
        <v>651427.25364195777</v>
      </c>
      <c r="X4" s="22">
        <f ca="1">W4*(1+Simulations!$D$5)</f>
        <v>689107.03343519662</v>
      </c>
      <c r="Y4" s="22">
        <f ca="1">X4*(1+Simulations!$D$5)</f>
        <v>728966.28268926847</v>
      </c>
      <c r="Z4" s="22">
        <f ca="1">Y4*(1+Simulations!$D$5)</f>
        <v>771131.06602442241</v>
      </c>
      <c r="AA4" s="22">
        <f ca="1">Z4*(1+Simulations!$D$5)</f>
        <v>815734.73987607821</v>
      </c>
      <c r="AB4" s="22">
        <f ca="1">AA4*(1+Simulations!$D$5)</f>
        <v>862918.3742671553</v>
      </c>
      <c r="AC4" s="22">
        <f ca="1">AB4*(1+Simulations!$D$5)</f>
        <v>912831.19897650788</v>
      </c>
      <c r="AD4" s="22">
        <f ca="1">AC4*(1+Simulations!$D$5)</f>
        <v>965631.07551458338</v>
      </c>
      <c r="AE4" s="22">
        <f ca="1">AD4*(1+Simulations!$D$5)</f>
        <v>1021484.9963990416</v>
      </c>
      <c r="AF4" s="22">
        <f ca="1">AE4*(1+Simulations!$D$5)</f>
        <v>1080569.6133094174</v>
      </c>
      <c r="AG4" s="22">
        <f ca="1">AF4*(1+Simulations!$D$5)</f>
        <v>1143071.7957912427</v>
      </c>
      <c r="AH4" s="22">
        <f ca="1">AG4*(1+Simulations!$D$5)</f>
        <v>1209189.2222766702</v>
      </c>
      <c r="AI4" s="22">
        <f ca="1">AH4*(1+Simulations!$D$5)</f>
        <v>1279131.0052908403</v>
      </c>
      <c r="AJ4" s="22">
        <f ca="1">AI4*(1+Simulations!$D$5)</f>
        <v>1353118.3528213652</v>
      </c>
      <c r="AK4" s="22">
        <f ca="1">AJ4*(1+Simulations!$D$5)</f>
        <v>1431385.2679426689</v>
      </c>
      <c r="AL4" s="22">
        <f ca="1">AK4*(1+Simulations!$D$5)</f>
        <v>1514179.2889079163</v>
      </c>
      <c r="AM4" s="22">
        <f ca="1">AL4*(1+Simulations!$D$5)</f>
        <v>1601762.2720492566</v>
      </c>
      <c r="AN4" s="22">
        <f ca="1">AM4*(1+Simulations!$D$5)</f>
        <v>1694411.2199624891</v>
      </c>
      <c r="AO4" s="22">
        <f ca="1">AN4*(1+Simulations!$D$5)</f>
        <v>1792419.1575954924</v>
      </c>
      <c r="AP4" s="22">
        <f ca="1">AO4*(1+Simulations!$D$5)</f>
        <v>1896096.0590112589</v>
      </c>
    </row>
    <row r="5" spans="1:42">
      <c r="A5" s="11" t="s">
        <v>17</v>
      </c>
      <c r="B5" s="21">
        <v>136000</v>
      </c>
      <c r="C5" s="22">
        <f ca="1">B5*(1+Simulations!$D$6)</f>
        <v>142756.52851482309</v>
      </c>
      <c r="D5" s="22">
        <f ca="1">C5*(1+Simulations!$D$6)</f>
        <v>149848.72377649631</v>
      </c>
      <c r="E5" s="22">
        <f ca="1">D5*(1+Simulations!$D$6)</f>
        <v>157293.26182874443</v>
      </c>
      <c r="F5" s="22">
        <f ca="1">E5*(1+Simulations!$D$6)</f>
        <v>165107.6471870933</v>
      </c>
      <c r="G5" s="22">
        <f ca="1">F5*(1+Simulations!$D$6)</f>
        <v>173310.25399764438</v>
      </c>
      <c r="H5" s="22">
        <f ca="1">G5*(1+Simulations!$D$6)</f>
        <v>181920.36924063202</v>
      </c>
      <c r="I5" s="22">
        <f ca="1">H5*(1+Simulations!$D$6)</f>
        <v>190958.23808034876</v>
      </c>
      <c r="J5" s="22">
        <f ca="1">I5*(1+Simulations!$D$6)</f>
        <v>200445.11146807121</v>
      </c>
      <c r="K5" s="22">
        <f ca="1">J5*(1+Simulations!$D$6)</f>
        <v>210403.29610991618</v>
      </c>
      <c r="L5" s="22">
        <f ca="1">K5*(1+Simulations!$D$6)</f>
        <v>220856.20691711776</v>
      </c>
      <c r="M5" s="22">
        <f ca="1">L5*(1+Simulations!$D$6)</f>
        <v>231828.42206205288</v>
      </c>
      <c r="N5" s="22">
        <f ca="1">M5*(1+Simulations!$D$6)</f>
        <v>243345.74076946982</v>
      </c>
      <c r="O5" s="22">
        <f ca="1">N5*(1+Simulations!$D$6)</f>
        <v>255435.24397880564</v>
      </c>
      <c r="P5" s="22">
        <f ca="1">O5*(1+Simulations!$D$6)</f>
        <v>268125.35802022915</v>
      </c>
      <c r="Q5" s="22">
        <f ca="1">P5*(1+Simulations!$D$6)</f>
        <v>281445.9214541323</v>
      </c>
      <c r="R5" s="22">
        <f ca="1">Q5*(1+Simulations!$D$6)</f>
        <v>295428.25523123163</v>
      </c>
      <c r="S5" s="22">
        <f ca="1">R5*(1+Simulations!$D$6)</f>
        <v>310105.23633824819</v>
      </c>
      <c r="T5" s="22">
        <f ca="1">S5*(1+Simulations!$D$6)</f>
        <v>325511.37510233145</v>
      </c>
      <c r="U5" s="22">
        <f ca="1">T5*(1+Simulations!$D$6)</f>
        <v>341682.89633599453</v>
      </c>
      <c r="V5" s="22">
        <f ca="1">U5*(1+Simulations!$D$6)</f>
        <v>358657.82451335841</v>
      </c>
      <c r="W5" s="22">
        <f ca="1">V5*(1+Simulations!$D$6)</f>
        <v>376476.07317798288</v>
      </c>
      <c r="X5" s="22">
        <f ca="1">W5*(1+Simulations!$D$6)</f>
        <v>395179.53879250982</v>
      </c>
      <c r="Y5" s="22">
        <f ca="1">X5*(1+Simulations!$D$6)</f>
        <v>414812.19925079093</v>
      </c>
      <c r="Z5" s="22">
        <f ca="1">Y5*(1+Simulations!$D$6)</f>
        <v>435420.21728413244</v>
      </c>
      <c r="AA5" s="22">
        <f ca="1">Z5*(1+Simulations!$D$6)</f>
        <v>457052.0490047994</v>
      </c>
      <c r="AB5" s="22">
        <f ca="1">AA5*(1+Simulations!$D$6)</f>
        <v>479758.55784199975</v>
      </c>
      <c r="AC5" s="22">
        <f ca="1">AB5*(1+Simulations!$D$6)</f>
        <v>503593.13413824886</v>
      </c>
      <c r="AD5" s="22">
        <f ca="1">AC5*(1+Simulations!$D$6)</f>
        <v>528611.82068732393</v>
      </c>
      <c r="AE5" s="22">
        <f ca="1">AD5*(1+Simulations!$D$6)</f>
        <v>554873.44450898899</v>
      </c>
      <c r="AF5" s="22">
        <f ca="1">AE5*(1+Simulations!$D$6)</f>
        <v>582439.75517033529</v>
      </c>
      <c r="AG5" s="22">
        <f ca="1">AF5*(1+Simulations!$D$6)</f>
        <v>611375.56997897464</v>
      </c>
      <c r="AH5" s="22">
        <f ca="1">AG5*(1+Simulations!$D$6)</f>
        <v>641748.92638948315</v>
      </c>
      <c r="AI5" s="22">
        <f ca="1">AH5*(1+Simulations!$D$6)</f>
        <v>673631.24198145117</v>
      </c>
      <c r="AJ5" s="22">
        <f ca="1">AI5*(1+Simulations!$D$6)</f>
        <v>707097.48238529952</v>
      </c>
      <c r="AK5" s="22">
        <f ca="1">AJ5*(1+Simulations!$D$6)</f>
        <v>742226.33755071054</v>
      </c>
      <c r="AL5" s="22">
        <f ca="1">AK5*(1+Simulations!$D$6)</f>
        <v>779100.40677213762</v>
      </c>
      <c r="AM5" s="22">
        <f ca="1">AL5*(1+Simulations!$D$6)</f>
        <v>817806.39290644811</v>
      </c>
      <c r="AN5" s="22">
        <f ca="1">AM5*(1+Simulations!$D$6)</f>
        <v>858435.30623936746</v>
      </c>
      <c r="AO5" s="22">
        <f ca="1">AN5*(1+Simulations!$D$6)</f>
        <v>901082.67848008208</v>
      </c>
      <c r="AP5" s="22">
        <f ca="1">AO5*(1+Simulations!$D$6)</f>
        <v>945848.7873871692</v>
      </c>
    </row>
    <row r="6" spans="1:42">
      <c r="A6" s="11" t="s">
        <v>14</v>
      </c>
      <c r="B6" s="23">
        <f>B4-B5</f>
        <v>64000</v>
      </c>
      <c r="C6" s="23">
        <f ca="1">C4-C5</f>
        <v>68811.848332347814</v>
      </c>
      <c r="D6" s="23">
        <f t="shared" ref="D6:AP6" ca="1" si="0">D4-D5</f>
        <v>73957.166632236302</v>
      </c>
      <c r="E6" s="23">
        <f t="shared" ca="1" si="0"/>
        <v>79457.982984312432</v>
      </c>
      <c r="F6" s="23">
        <f t="shared" ca="1" si="0"/>
        <v>85337.735721134872</v>
      </c>
      <c r="G6" s="23">
        <f t="shared" ca="1" si="0"/>
        <v>91621.361756165774</v>
      </c>
      <c r="H6" s="23">
        <f t="shared" ca="1" si="0"/>
        <v>98335.390362027945</v>
      </c>
      <c r="I6" s="23">
        <f t="shared" ca="1" si="0"/>
        <v>105508.04272567976</v>
      </c>
      <c r="J6" s="23">
        <f t="shared" ca="1" si="0"/>
        <v>113169.33763217399</v>
      </c>
      <c r="K6" s="23">
        <f t="shared" ca="1" si="0"/>
        <v>121351.2036498767</v>
      </c>
      <c r="L6" s="23">
        <f t="shared" ca="1" si="0"/>
        <v>130087.59821250488</v>
      </c>
      <c r="M6" s="23">
        <f t="shared" ca="1" si="0"/>
        <v>139414.63401716767</v>
      </c>
      <c r="N6" s="23">
        <f t="shared" ca="1" si="0"/>
        <v>149370.71318284987</v>
      </c>
      <c r="O6" s="23">
        <f t="shared" ca="1" si="0"/>
        <v>159996.66964053942</v>
      </c>
      <c r="P6" s="23">
        <f t="shared" ca="1" si="0"/>
        <v>171335.9202545656</v>
      </c>
      <c r="Q6" s="23">
        <f t="shared" ca="1" si="0"/>
        <v>183434.62520477379</v>
      </c>
      <c r="R6" s="23">
        <f t="shared" ca="1" si="0"/>
        <v>196341.85819101968</v>
      </c>
      <c r="S6" s="23">
        <f t="shared" ca="1" si="0"/>
        <v>210109.78705522604</v>
      </c>
      <c r="T6" s="23">
        <f t="shared" ca="1" si="0"/>
        <v>224793.86545202049</v>
      </c>
      <c r="U6" s="23">
        <f t="shared" ca="1" si="0"/>
        <v>240453.03623688634</v>
      </c>
      <c r="V6" s="23">
        <f t="shared" ca="1" si="0"/>
        <v>257149.94728093431</v>
      </c>
      <c r="W6" s="23">
        <f t="shared" ca="1" si="0"/>
        <v>274951.18046397489</v>
      </c>
      <c r="X6" s="23">
        <f t="shared" ca="1" si="0"/>
        <v>293927.4946426868</v>
      </c>
      <c r="Y6" s="23">
        <f t="shared" ca="1" si="0"/>
        <v>314154.08343847754</v>
      </c>
      <c r="Z6" s="23">
        <f t="shared" ca="1" si="0"/>
        <v>335710.84874028998</v>
      </c>
      <c r="AA6" s="23">
        <f t="shared" ca="1" si="0"/>
        <v>358682.69087127881</v>
      </c>
      <c r="AB6" s="23">
        <f t="shared" ca="1" si="0"/>
        <v>383159.81642515556</v>
      </c>
      <c r="AC6" s="23">
        <f t="shared" ca="1" si="0"/>
        <v>409238.06483825902</v>
      </c>
      <c r="AD6" s="23">
        <f t="shared" ca="1" si="0"/>
        <v>437019.25482725946</v>
      </c>
      <c r="AE6" s="23">
        <f t="shared" ca="1" si="0"/>
        <v>466611.55189005262</v>
      </c>
      <c r="AF6" s="23">
        <f t="shared" ca="1" si="0"/>
        <v>498129.85813908209</v>
      </c>
      <c r="AG6" s="23">
        <f t="shared" ca="1" si="0"/>
        <v>531696.22581226809</v>
      </c>
      <c r="AH6" s="23">
        <f t="shared" ca="1" si="0"/>
        <v>567440.29588718701</v>
      </c>
      <c r="AI6" s="23">
        <f t="shared" ca="1" si="0"/>
        <v>605499.76330938912</v>
      </c>
      <c r="AJ6" s="23">
        <f t="shared" ca="1" si="0"/>
        <v>646020.87043606571</v>
      </c>
      <c r="AK6" s="23">
        <f t="shared" ca="1" si="0"/>
        <v>689158.93039195833</v>
      </c>
      <c r="AL6" s="23">
        <f t="shared" ca="1" si="0"/>
        <v>735078.88213577867</v>
      </c>
      <c r="AM6" s="23">
        <f t="shared" ca="1" si="0"/>
        <v>783955.8791428085</v>
      </c>
      <c r="AN6" s="23">
        <f t="shared" ca="1" si="0"/>
        <v>835975.91372312163</v>
      </c>
      <c r="AO6" s="23">
        <f t="shared" ca="1" si="0"/>
        <v>891336.47911541036</v>
      </c>
      <c r="AP6" s="23">
        <f t="shared" ca="1" si="0"/>
        <v>950247.27162408968</v>
      </c>
    </row>
    <row r="7" spans="1:42">
      <c r="A7" s="11" t="s">
        <v>15</v>
      </c>
      <c r="B7" s="23">
        <v>64000</v>
      </c>
      <c r="C7" s="22">
        <f ca="1">B7+C6</f>
        <v>132811.84833234781</v>
      </c>
      <c r="D7" s="22">
        <f t="shared" ref="D7:AP7" ca="1" si="1">C7+D6</f>
        <v>206769.01496458412</v>
      </c>
      <c r="E7" s="22">
        <f t="shared" ca="1" si="1"/>
        <v>286226.99794889655</v>
      </c>
      <c r="F7" s="22">
        <f t="shared" ca="1" si="1"/>
        <v>371564.73367003142</v>
      </c>
      <c r="G7" s="22">
        <f t="shared" ca="1" si="1"/>
        <v>463186.09542619716</v>
      </c>
      <c r="H7" s="22">
        <f t="shared" ca="1" si="1"/>
        <v>561521.48578822508</v>
      </c>
      <c r="I7" s="22">
        <f t="shared" ca="1" si="1"/>
        <v>667029.52851390489</v>
      </c>
      <c r="J7" s="22">
        <f t="shared" ca="1" si="1"/>
        <v>780198.86614607892</v>
      </c>
      <c r="K7" s="22">
        <f t="shared" ca="1" si="1"/>
        <v>901550.06979595567</v>
      </c>
      <c r="L7" s="22">
        <f t="shared" ca="1" si="1"/>
        <v>1031637.6680084605</v>
      </c>
      <c r="M7" s="22">
        <f t="shared" ca="1" si="1"/>
        <v>1171052.3020256283</v>
      </c>
      <c r="N7" s="22">
        <f t="shared" ca="1" si="1"/>
        <v>1320423.0152084781</v>
      </c>
      <c r="O7" s="22">
        <f t="shared" ca="1" si="1"/>
        <v>1480419.6848490175</v>
      </c>
      <c r="P7" s="22">
        <f t="shared" ca="1" si="1"/>
        <v>1651755.6051035831</v>
      </c>
      <c r="Q7" s="22">
        <f t="shared" ca="1" si="1"/>
        <v>1835190.2303083569</v>
      </c>
      <c r="R7" s="22">
        <f t="shared" ca="1" si="1"/>
        <v>2031532.0884993766</v>
      </c>
      <c r="S7" s="22">
        <f t="shared" ca="1" si="1"/>
        <v>2241641.8755546026</v>
      </c>
      <c r="T7" s="22">
        <f t="shared" ca="1" si="1"/>
        <v>2466435.741006623</v>
      </c>
      <c r="U7" s="22">
        <f t="shared" ca="1" si="1"/>
        <v>2706888.7772435094</v>
      </c>
      <c r="V7" s="22">
        <f t="shared" ca="1" si="1"/>
        <v>2964038.724524444</v>
      </c>
      <c r="W7" s="22">
        <f t="shared" ca="1" si="1"/>
        <v>3238989.9049884188</v>
      </c>
      <c r="X7" s="22">
        <f t="shared" ca="1" si="1"/>
        <v>3532917.3996311054</v>
      </c>
      <c r="Y7" s="22">
        <f t="shared" ca="1" si="1"/>
        <v>3847071.4830695828</v>
      </c>
      <c r="Z7" s="22">
        <f t="shared" ca="1" si="1"/>
        <v>4182782.3318098728</v>
      </c>
      <c r="AA7" s="22">
        <f t="shared" ca="1" si="1"/>
        <v>4541465.0226811515</v>
      </c>
      <c r="AB7" s="22">
        <f t="shared" ca="1" si="1"/>
        <v>4924624.8391063074</v>
      </c>
      <c r="AC7" s="22">
        <f t="shared" ca="1" si="1"/>
        <v>5333862.9039445668</v>
      </c>
      <c r="AD7" s="22">
        <f t="shared" ca="1" si="1"/>
        <v>5770882.158771826</v>
      </c>
      <c r="AE7" s="22">
        <f t="shared" ca="1" si="1"/>
        <v>6237493.7106618788</v>
      </c>
      <c r="AF7" s="22">
        <f t="shared" ca="1" si="1"/>
        <v>6735623.5688009607</v>
      </c>
      <c r="AG7" s="22">
        <f t="shared" ca="1" si="1"/>
        <v>7267319.7946132291</v>
      </c>
      <c r="AH7" s="22">
        <f t="shared" ca="1" si="1"/>
        <v>7834760.0905004162</v>
      </c>
      <c r="AI7" s="22">
        <f t="shared" ca="1" si="1"/>
        <v>8440259.8538098056</v>
      </c>
      <c r="AJ7" s="22">
        <f t="shared" ca="1" si="1"/>
        <v>9086280.7242458705</v>
      </c>
      <c r="AK7" s="22">
        <f t="shared" ca="1" si="1"/>
        <v>9775439.6546378285</v>
      </c>
      <c r="AL7" s="22">
        <f t="shared" ca="1" si="1"/>
        <v>10510518.536773607</v>
      </c>
      <c r="AM7" s="22">
        <f t="shared" ca="1" si="1"/>
        <v>11294474.415916415</v>
      </c>
      <c r="AN7" s="22">
        <f t="shared" ca="1" si="1"/>
        <v>12130450.329639537</v>
      </c>
      <c r="AO7" s="22">
        <f t="shared" ca="1" si="1"/>
        <v>13021786.808754947</v>
      </c>
      <c r="AP7" s="22">
        <f t="shared" ca="1" si="1"/>
        <v>13972034.080379037</v>
      </c>
    </row>
    <row r="8" spans="1:42">
      <c r="A8" s="11" t="s">
        <v>16</v>
      </c>
      <c r="B8" s="23">
        <v>0</v>
      </c>
      <c r="C8" s="22">
        <f ca="1">B7+Simulations!$D$7</f>
        <v>64000.070140109397</v>
      </c>
      <c r="D8" s="22">
        <f ca="1">C7+Simulations!$D$7</f>
        <v>132811.91847245721</v>
      </c>
      <c r="E8" s="22">
        <f ca="1">D7+Simulations!$D$7</f>
        <v>206769.08510469351</v>
      </c>
      <c r="F8" s="22">
        <f ca="1">E7+Simulations!$D$7</f>
        <v>286227.06808900594</v>
      </c>
      <c r="G8" s="22">
        <f ca="1">F7+Simulations!$D$7</f>
        <v>371564.80381014082</v>
      </c>
      <c r="H8" s="22">
        <f ca="1">G7+Simulations!$D$7</f>
        <v>463186.16556630656</v>
      </c>
      <c r="I8" s="22">
        <f ca="1">H7+Simulations!$D$7</f>
        <v>561521.55592833448</v>
      </c>
      <c r="J8" s="22">
        <f ca="1">I7+Simulations!$D$7</f>
        <v>667029.59865401429</v>
      </c>
      <c r="K8" s="22">
        <f ca="1">J7+Simulations!$D$7</f>
        <v>780198.93628618831</v>
      </c>
      <c r="L8" s="22">
        <f ca="1">K7+Simulations!$D$7</f>
        <v>901550.13993606507</v>
      </c>
      <c r="M8" s="22">
        <f ca="1">L7+Simulations!$D$7</f>
        <v>1031637.7381485699</v>
      </c>
      <c r="N8" s="22">
        <f ca="1">M7+Simulations!$D$7</f>
        <v>1171052.3721657377</v>
      </c>
      <c r="O8" s="22">
        <f ca="1">N7+Simulations!$D$7</f>
        <v>1320423.0853485875</v>
      </c>
      <c r="P8" s="22">
        <f ca="1">O7+Simulations!$D$7</f>
        <v>1480419.7549891269</v>
      </c>
      <c r="Q8" s="22">
        <f ca="1">P7+Simulations!$D$7</f>
        <v>1651755.6752436925</v>
      </c>
      <c r="R8" s="22">
        <f ca="1">Q7+Simulations!$D$7</f>
        <v>1835190.3004484663</v>
      </c>
      <c r="S8" s="22">
        <f ca="1">R7+Simulations!$D$7</f>
        <v>2031532.1586394859</v>
      </c>
      <c r="T8" s="22">
        <f ca="1">S7+Simulations!$D$7</f>
        <v>2241641.945694712</v>
      </c>
      <c r="U8" s="22">
        <f ca="1">T7+Simulations!$D$7</f>
        <v>2466435.8111467324</v>
      </c>
      <c r="V8" s="22">
        <f ca="1">U7+Simulations!$D$7</f>
        <v>2706888.8473836188</v>
      </c>
      <c r="W8" s="22">
        <f ca="1">V7+Simulations!$D$7</f>
        <v>2964038.7946645534</v>
      </c>
      <c r="X8" s="22">
        <f ca="1">W7+Simulations!$D$7</f>
        <v>3238989.9751285282</v>
      </c>
      <c r="Y8" s="22">
        <f ca="1">X7+Simulations!$D$7</f>
        <v>3532917.4697712148</v>
      </c>
      <c r="Z8" s="22">
        <f ca="1">Y7+Simulations!$D$7</f>
        <v>3847071.5532096922</v>
      </c>
      <c r="AA8" s="22">
        <f ca="1">Z7+Simulations!$D$7</f>
        <v>4182782.4019499822</v>
      </c>
      <c r="AB8" s="22">
        <f ca="1">AA7+Simulations!$D$7</f>
        <v>4541465.0928212609</v>
      </c>
      <c r="AC8" s="22">
        <f ca="1">AB7+Simulations!$D$7</f>
        <v>4924624.9092464168</v>
      </c>
      <c r="AD8" s="22">
        <f ca="1">AC7+Simulations!$D$7</f>
        <v>5333862.9740846762</v>
      </c>
      <c r="AE8" s="22">
        <f ca="1">AD7+Simulations!$D$7</f>
        <v>5770882.2289119354</v>
      </c>
      <c r="AF8" s="22">
        <f ca="1">AE7+Simulations!$D$7</f>
        <v>6237493.7808019882</v>
      </c>
      <c r="AG8" s="22">
        <f ca="1">AF7+Simulations!$D$7</f>
        <v>6735623.6389410701</v>
      </c>
      <c r="AH8" s="22">
        <f ca="1">AG7+Simulations!$D$7</f>
        <v>7267319.8647533385</v>
      </c>
      <c r="AI8" s="22">
        <f ca="1">AH7+Simulations!$D$7</f>
        <v>7834760.1606405256</v>
      </c>
      <c r="AJ8" s="22">
        <f ca="1">AI7+Simulations!$D$7</f>
        <v>8440259.9239499141</v>
      </c>
      <c r="AK8" s="22">
        <f ca="1">AJ7+Simulations!$D$7</f>
        <v>9086280.794385979</v>
      </c>
      <c r="AL8" s="22">
        <f ca="1">AK7+Simulations!$D$7</f>
        <v>9775439.7247779369</v>
      </c>
      <c r="AM8" s="22">
        <f ca="1">AL7+Simulations!$D$7</f>
        <v>10510518.606913716</v>
      </c>
      <c r="AN8" s="22">
        <f ca="1">AM7+Simulations!$D$7</f>
        <v>11294474.486056523</v>
      </c>
      <c r="AO8" s="22">
        <f ca="1">AN7+Simulations!$D$7</f>
        <v>12130450.399779646</v>
      </c>
      <c r="AP8" s="22">
        <f ca="1">AO7+Simulations!$D$7</f>
        <v>13021786.878895056</v>
      </c>
    </row>
    <row r="9" spans="1:42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</row>
    <row r="10" spans="1:42">
      <c r="A10" s="13" t="s">
        <v>22</v>
      </c>
      <c r="B10" s="14">
        <v>0</v>
      </c>
      <c r="C10" s="14">
        <f ca="1">C6+C7+C8</f>
        <v>265623.76680480503</v>
      </c>
      <c r="D10" s="14">
        <f t="shared" ref="D10:AP10" ca="1" si="2">D6+D7+D8</f>
        <v>413538.10006927763</v>
      </c>
      <c r="E10" s="14">
        <f t="shared" ca="1" si="2"/>
        <v>572454.06603790249</v>
      </c>
      <c r="F10" s="14">
        <f t="shared" ca="1" si="2"/>
        <v>743129.53748017224</v>
      </c>
      <c r="G10" s="14">
        <f t="shared" ca="1" si="2"/>
        <v>926372.26099250372</v>
      </c>
      <c r="H10" s="14">
        <f t="shared" ca="1" si="2"/>
        <v>1123043.0417165596</v>
      </c>
      <c r="I10" s="14">
        <f t="shared" ca="1" si="2"/>
        <v>1334059.1271679192</v>
      </c>
      <c r="J10" s="14">
        <f t="shared" ca="1" si="2"/>
        <v>1560397.8024322672</v>
      </c>
      <c r="K10" s="14">
        <f t="shared" ca="1" si="2"/>
        <v>1803100.2097320207</v>
      </c>
      <c r="L10" s="14">
        <f t="shared" ca="1" si="2"/>
        <v>2063275.4061570305</v>
      </c>
      <c r="M10" s="14">
        <f t="shared" ca="1" si="2"/>
        <v>2342104.6741913659</v>
      </c>
      <c r="N10" s="14">
        <f t="shared" ca="1" si="2"/>
        <v>2640846.1005570656</v>
      </c>
      <c r="O10" s="14">
        <f t="shared" ca="1" si="2"/>
        <v>2960839.4398381445</v>
      </c>
      <c r="P10" s="14">
        <f t="shared" ca="1" si="2"/>
        <v>3303511.2803472755</v>
      </c>
      <c r="Q10" s="14">
        <f t="shared" ca="1" si="2"/>
        <v>3670380.5307568233</v>
      </c>
      <c r="R10" s="14">
        <f t="shared" ca="1" si="2"/>
        <v>4063064.2471388625</v>
      </c>
      <c r="S10" s="14">
        <f t="shared" ca="1" si="2"/>
        <v>4483283.8212493146</v>
      </c>
      <c r="T10" s="14">
        <f t="shared" ca="1" si="2"/>
        <v>4932871.5521533554</v>
      </c>
      <c r="U10" s="14">
        <f t="shared" ca="1" si="2"/>
        <v>5413777.6246271282</v>
      </c>
      <c r="V10" s="14">
        <f t="shared" ca="1" si="2"/>
        <v>5928077.5191889964</v>
      </c>
      <c r="W10" s="14">
        <f t="shared" ca="1" si="2"/>
        <v>6477979.880116947</v>
      </c>
      <c r="X10" s="14">
        <f t="shared" ca="1" si="2"/>
        <v>7065834.8694023211</v>
      </c>
      <c r="Y10" s="14">
        <f t="shared" ca="1" si="2"/>
        <v>7694143.0362792751</v>
      </c>
      <c r="Z10" s="14">
        <f t="shared" ca="1" si="2"/>
        <v>8365564.7337598549</v>
      </c>
      <c r="AA10" s="14">
        <f t="shared" ca="1" si="2"/>
        <v>9082930.1155024134</v>
      </c>
      <c r="AB10" s="14">
        <f t="shared" ca="1" si="2"/>
        <v>9849249.7483527251</v>
      </c>
      <c r="AC10" s="14">
        <f t="shared" ca="1" si="2"/>
        <v>10667725.878029242</v>
      </c>
      <c r="AD10" s="14">
        <f t="shared" ca="1" si="2"/>
        <v>11541764.38768376</v>
      </c>
      <c r="AE10" s="14">
        <f t="shared" ca="1" si="2"/>
        <v>12474987.491463866</v>
      </c>
      <c r="AF10" s="14">
        <f t="shared" ca="1" si="2"/>
        <v>13471247.207742032</v>
      </c>
      <c r="AG10" s="14">
        <f t="shared" ca="1" si="2"/>
        <v>14534639.659366567</v>
      </c>
      <c r="AH10" s="14">
        <f t="shared" ca="1" si="2"/>
        <v>15669520.251140941</v>
      </c>
      <c r="AI10" s="14">
        <f t="shared" ca="1" si="2"/>
        <v>16880519.77775972</v>
      </c>
      <c r="AJ10" s="14">
        <f t="shared" ca="1" si="2"/>
        <v>18172561.518631849</v>
      </c>
      <c r="AK10" s="14">
        <f t="shared" ca="1" si="2"/>
        <v>19550879.379415765</v>
      </c>
      <c r="AL10" s="14">
        <f t="shared" ca="1" si="2"/>
        <v>21021037.143687323</v>
      </c>
      <c r="AM10" s="14">
        <f t="shared" ca="1" si="2"/>
        <v>22588948.901972938</v>
      </c>
      <c r="AN10" s="14">
        <f t="shared" ca="1" si="2"/>
        <v>24260900.729419183</v>
      </c>
      <c r="AO10" s="14">
        <f t="shared" ca="1" si="2"/>
        <v>26043573.687650003</v>
      </c>
      <c r="AP10" s="14">
        <f t="shared" ca="1" si="2"/>
        <v>27944068.230898183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0A0DA-E02B-4485-841F-56CD53F4D488}">
  <sheetPr codeName="Sheet8">
    <tabColor theme="3" tint="0.89999084444715716"/>
  </sheetPr>
  <dimension ref="B2:N1002"/>
  <sheetViews>
    <sheetView showGridLines="0" tabSelected="1" zoomScaleNormal="100" workbookViewId="0">
      <selection activeCell="N101" sqref="N101"/>
    </sheetView>
  </sheetViews>
  <sheetFormatPr defaultColWidth="9.125" defaultRowHeight="10.5"/>
  <cols>
    <col min="1" max="1" width="9.125" style="15"/>
    <col min="2" max="2" width="11.125" style="15" customWidth="1"/>
    <col min="3" max="3" width="14.375" style="15" bestFit="1" customWidth="1"/>
    <col min="4" max="4" width="15" style="15" bestFit="1" customWidth="1"/>
    <col min="5" max="5" width="16.875" style="15" bestFit="1" customWidth="1"/>
    <col min="6" max="6" width="17.75" style="15" bestFit="1" customWidth="1"/>
    <col min="7" max="8" width="17.75" style="15" customWidth="1"/>
    <col min="9" max="9" width="20.875" style="15" bestFit="1" customWidth="1"/>
    <col min="10" max="10" width="19.75" style="15" bestFit="1" customWidth="1"/>
    <col min="11" max="11" width="19.75" style="15" customWidth="1"/>
    <col min="12" max="12" width="15.25" style="15" bestFit="1" customWidth="1"/>
    <col min="13" max="13" width="14.375" style="15" bestFit="1" customWidth="1"/>
    <col min="14" max="14" width="14.75" style="15" bestFit="1" customWidth="1"/>
    <col min="15" max="16384" width="9.125" style="15"/>
  </cols>
  <sheetData>
    <row r="2" spans="2:14">
      <c r="B2" s="31" t="s">
        <v>23</v>
      </c>
      <c r="C2" s="32" t="s">
        <v>24</v>
      </c>
      <c r="D2" s="32" t="s">
        <v>25</v>
      </c>
      <c r="E2" s="32" t="s">
        <v>16</v>
      </c>
      <c r="F2" s="32" t="s">
        <v>28</v>
      </c>
      <c r="G2" s="32" t="s">
        <v>29</v>
      </c>
      <c r="H2" s="32" t="s">
        <v>26</v>
      </c>
      <c r="I2" s="32" t="s">
        <v>31</v>
      </c>
      <c r="J2" s="32" t="s">
        <v>30</v>
      </c>
      <c r="K2" s="32" t="s">
        <v>27</v>
      </c>
      <c r="M2" s="34" t="s">
        <v>9</v>
      </c>
      <c r="N2" s="34"/>
    </row>
    <row r="3" spans="2:14" ht="11.25">
      <c r="B3" s="27">
        <v>1</v>
      </c>
      <c r="C3" s="24">
        <f ca="1">MAX(0.02,MIN(0.12,_xlfn.NORM.INV(RAND(),0.06,0.02)))</f>
        <v>5.0619525501277136E-2</v>
      </c>
      <c r="D3" s="24">
        <f ca="1">MAX(0.02,MIN(0.08,_xlfn.NORM.INV(RAND(),0.05,0.015)))</f>
        <v>4.7106937890107996E-2</v>
      </c>
      <c r="E3" s="24">
        <f ca="1">MAX(-0.1,MIN(0.25,_xlfn.NORM.INV(RAND(),0.07,0.04)))</f>
        <v>3.7637156236468121E-2</v>
      </c>
      <c r="F3" s="25">
        <f ca="1">'Single Simulation'!$AP$4*Results!C3</f>
        <v>95979.482811991504</v>
      </c>
      <c r="G3" s="25">
        <f ca="1">'Single Simulation'!$AP$5*Results!D3</f>
        <v>44556.040080881343</v>
      </c>
      <c r="H3" s="25">
        <f ca="1">F3-G3</f>
        <v>51423.442731110161</v>
      </c>
      <c r="I3" s="25">
        <f ca="1">H3*E3</f>
        <v>1935.432148287864</v>
      </c>
      <c r="J3" s="25">
        <f ca="1">'Single Simulation'!$AP$7*Results!E3</f>
        <v>525867.62962448306</v>
      </c>
      <c r="K3" s="28" t="str">
        <f ca="1">IF(J3&gt;$N$4,"Yes","No")</f>
        <v>No</v>
      </c>
      <c r="M3" s="3" t="s">
        <v>10</v>
      </c>
      <c r="N3" s="33">
        <v>100</v>
      </c>
    </row>
    <row r="4" spans="2:14" ht="11.25">
      <c r="B4" s="27">
        <v>2</v>
      </c>
      <c r="C4" s="24">
        <f t="shared" ref="C4:C67" ca="1" si="0">MAX(0.02,MIN(0.12,_xlfn.NORM.INV(RAND(),0.06,0.02)))</f>
        <v>3.9088062668489229E-2</v>
      </c>
      <c r="D4" s="24">
        <f t="shared" ref="D4:D67" ca="1" si="1">MAX(0.02,MIN(0.08,_xlfn.NORM.INV(RAND(),0.05,0.015)))</f>
        <v>6.1852785047102163E-2</v>
      </c>
      <c r="E4" s="24">
        <f t="shared" ref="E4:E67" ca="1" si="2">MAX(-0.1,MIN(0.25,_xlfn.NORM.INV(RAND(),0.07,0.04)))</f>
        <v>0.12568073242261565</v>
      </c>
      <c r="F4" s="25">
        <f ca="1">'Single Simulation'!$AP$4*Results!C4</f>
        <v>74114.721580107536</v>
      </c>
      <c r="G4" s="25">
        <f ca="1">'Single Simulation'!$AP$5*Results!D4</f>
        <v>58503.381733320814</v>
      </c>
      <c r="H4" s="25">
        <f t="shared" ref="H4:H67" ca="1" si="3">F4-G4</f>
        <v>15611.339846786723</v>
      </c>
      <c r="I4" s="25">
        <f t="shared" ref="I4:I67" ca="1" si="4">H4*E4</f>
        <v>1962.0446260425197</v>
      </c>
      <c r="J4" s="25">
        <f ca="1">'Single Simulation'!$AP$7*Results!E4</f>
        <v>1756015.4766557845</v>
      </c>
      <c r="K4" s="28" t="str">
        <f t="shared" ref="K4:K67" ca="1" si="5">IF(J4&gt;$N$4,"Yes","No")</f>
        <v>No</v>
      </c>
      <c r="M4" s="3" t="s">
        <v>11</v>
      </c>
      <c r="N4" s="10">
        <v>5000000</v>
      </c>
    </row>
    <row r="5" spans="2:14" ht="11.25">
      <c r="B5" s="27">
        <v>3</v>
      </c>
      <c r="C5" s="24">
        <f t="shared" ca="1" si="0"/>
        <v>4.8087581056364619E-2</v>
      </c>
      <c r="D5" s="24">
        <f t="shared" ca="1" si="1"/>
        <v>0.08</v>
      </c>
      <c r="E5" s="24">
        <f t="shared" ca="1" si="2"/>
        <v>3.0170972503846684E-2</v>
      </c>
      <c r="F5" s="25">
        <f ca="1">'Single Simulation'!$AP$4*Results!C5</f>
        <v>91178.672928357424</v>
      </c>
      <c r="G5" s="25">
        <f ca="1">'Single Simulation'!$AP$5*Results!D5</f>
        <v>75667.90299097354</v>
      </c>
      <c r="H5" s="25">
        <f t="shared" ca="1" si="3"/>
        <v>15510.769937383884</v>
      </c>
      <c r="I5" s="25">
        <f t="shared" ca="1" si="4"/>
        <v>467.97501329430094</v>
      </c>
      <c r="J5" s="25">
        <f ca="1">'Single Simulation'!$AP$7*Results!E5</f>
        <v>421549.85606192471</v>
      </c>
      <c r="K5" s="28" t="str">
        <f t="shared" ca="1" si="5"/>
        <v>No</v>
      </c>
    </row>
    <row r="6" spans="2:14" ht="11.25">
      <c r="B6" s="27">
        <v>4</v>
      </c>
      <c r="C6" s="24">
        <f t="shared" ca="1" si="0"/>
        <v>0.10853579229479141</v>
      </c>
      <c r="D6" s="24">
        <f t="shared" ca="1" si="1"/>
        <v>0.08</v>
      </c>
      <c r="E6" s="24">
        <f t="shared" ca="1" si="2"/>
        <v>8.3824862113260706E-2</v>
      </c>
      <c r="F6" s="25">
        <f ca="1">'Single Simulation'!$AP$4*Results!C6</f>
        <v>205794.28803181855</v>
      </c>
      <c r="G6" s="25">
        <f ca="1">'Single Simulation'!$AP$5*Results!D6</f>
        <v>75667.90299097354</v>
      </c>
      <c r="H6" s="25">
        <f t="shared" ca="1" si="3"/>
        <v>130126.38504084501</v>
      </c>
      <c r="I6" s="25">
        <f t="shared" ca="1" si="4"/>
        <v>10907.826283345903</v>
      </c>
      <c r="J6" s="25">
        <f ca="1">'Single Simulation'!$AP$7*Results!E6</f>
        <v>1171203.8302295522</v>
      </c>
      <c r="K6" s="28" t="str">
        <f t="shared" ca="1" si="5"/>
        <v>No</v>
      </c>
    </row>
    <row r="7" spans="2:14" ht="11.25">
      <c r="B7" s="27">
        <v>5</v>
      </c>
      <c r="C7" s="24">
        <f t="shared" ca="1" si="0"/>
        <v>8.5323015743464403E-2</v>
      </c>
      <c r="D7" s="24">
        <f t="shared" ca="1" si="1"/>
        <v>0.02</v>
      </c>
      <c r="E7" s="24">
        <f t="shared" ca="1" si="2"/>
        <v>-5.8309808219005471E-3</v>
      </c>
      <c r="F7" s="25">
        <f ca="1">'Single Simulation'!$AP$4*Results!C7</f>
        <v>161780.63389413845</v>
      </c>
      <c r="G7" s="25">
        <f ca="1">'Single Simulation'!$AP$5*Results!D7</f>
        <v>18916.975747743385</v>
      </c>
      <c r="H7" s="25">
        <f t="shared" ca="1" si="3"/>
        <v>142863.65814639506</v>
      </c>
      <c r="I7" s="25">
        <f t="shared" ca="1" si="4"/>
        <v>-833.03525079818542</v>
      </c>
      <c r="J7" s="25">
        <f ca="1">'Single Simulation'!$AP$7*Results!E7</f>
        <v>-81470.662765631016</v>
      </c>
      <c r="K7" s="28" t="str">
        <f t="shared" ca="1" si="5"/>
        <v>No</v>
      </c>
    </row>
    <row r="8" spans="2:14" ht="11.25">
      <c r="B8" s="27">
        <v>6</v>
      </c>
      <c r="C8" s="24">
        <f t="shared" ca="1" si="0"/>
        <v>9.4312707286757433E-2</v>
      </c>
      <c r="D8" s="24">
        <f t="shared" ca="1" si="1"/>
        <v>6.8597248514824904E-2</v>
      </c>
      <c r="E8" s="24">
        <f t="shared" ca="1" si="2"/>
        <v>2.8795552303565945E-2</v>
      </c>
      <c r="F8" s="25">
        <f ca="1">'Single Simulation'!$AP$4*Results!C8</f>
        <v>178825.9526011032</v>
      </c>
      <c r="G8" s="25">
        <f ca="1">'Single Simulation'!$AP$5*Results!D8</f>
        <v>64882.624325843426</v>
      </c>
      <c r="H8" s="25">
        <f t="shared" ca="1" si="3"/>
        <v>113943.32827525977</v>
      </c>
      <c r="I8" s="25">
        <f t="shared" ca="1" si="4"/>
        <v>3281.0610689926275</v>
      </c>
      <c r="J8" s="25">
        <f ca="1">'Single Simulation'!$AP$7*Results!E8</f>
        <v>402332.43814876047</v>
      </c>
      <c r="K8" s="28" t="str">
        <f t="shared" ca="1" si="5"/>
        <v>No</v>
      </c>
    </row>
    <row r="9" spans="2:14" ht="11.25">
      <c r="B9" s="27">
        <v>7</v>
      </c>
      <c r="C9" s="24">
        <f t="shared" ca="1" si="0"/>
        <v>8.6398579446653329E-2</v>
      </c>
      <c r="D9" s="24">
        <f t="shared" ca="1" si="1"/>
        <v>5.1750940935603888E-2</v>
      </c>
      <c r="E9" s="24">
        <f t="shared" ca="1" si="2"/>
        <v>7.5438582961985523E-2</v>
      </c>
      <c r="F9" s="25">
        <f ca="1">'Single Simulation'!$AP$4*Results!C9</f>
        <v>163820.00599297052</v>
      </c>
      <c r="G9" s="25">
        <f ca="1">'Single Simulation'!$AP$5*Results!D9</f>
        <v>48948.564730085956</v>
      </c>
      <c r="H9" s="25">
        <f t="shared" ca="1" si="3"/>
        <v>114871.44126288456</v>
      </c>
      <c r="I9" s="25">
        <f t="shared" ca="1" si="4"/>
        <v>8665.7387516729632</v>
      </c>
      <c r="J9" s="25">
        <f ca="1">'Single Simulation'!$AP$7*Results!E9</f>
        <v>1054030.452120363</v>
      </c>
      <c r="K9" s="28" t="str">
        <f t="shared" ca="1" si="5"/>
        <v>No</v>
      </c>
    </row>
    <row r="10" spans="2:14" ht="11.25">
      <c r="B10" s="27">
        <v>8</v>
      </c>
      <c r="C10" s="24">
        <f t="shared" ca="1" si="0"/>
        <v>4.497801027118567E-2</v>
      </c>
      <c r="D10" s="24">
        <f t="shared" ca="1" si="1"/>
        <v>3.8652634796836095E-2</v>
      </c>
      <c r="E10" s="24">
        <f t="shared" ca="1" si="2"/>
        <v>4.4836484675627702E-2</v>
      </c>
      <c r="F10" s="25">
        <f ca="1">'Single Simulation'!$AP$4*Results!C10</f>
        <v>85282.628017363066</v>
      </c>
      <c r="G10" s="25">
        <f ca="1">'Single Simulation'!$AP$5*Results!D10</f>
        <v>36559.547751906524</v>
      </c>
      <c r="H10" s="25">
        <f t="shared" ca="1" si="3"/>
        <v>48723.080265456541</v>
      </c>
      <c r="I10" s="25">
        <f t="shared" ca="1" si="4"/>
        <v>2184.5716416715209</v>
      </c>
      <c r="J10" s="25">
        <f ca="1">'Single Simulation'!$AP$7*Results!E10</f>
        <v>626456.89193226269</v>
      </c>
      <c r="K10" s="28" t="str">
        <f t="shared" ca="1" si="5"/>
        <v>No</v>
      </c>
    </row>
    <row r="11" spans="2:14" ht="11.25">
      <c r="B11" s="27">
        <v>9</v>
      </c>
      <c r="C11" s="24">
        <f t="shared" ca="1" si="0"/>
        <v>5.6107320920627812E-2</v>
      </c>
      <c r="D11" s="24">
        <f t="shared" ca="1" si="1"/>
        <v>3.0138321694859062E-2</v>
      </c>
      <c r="E11" s="24">
        <f t="shared" ca="1" si="2"/>
        <v>0.10850187606904277</v>
      </c>
      <c r="F11" s="25">
        <f ca="1">'Single Simulation'!$AP$4*Results!C11</f>
        <v>106384.87007928235</v>
      </c>
      <c r="G11" s="25">
        <f ca="1">'Single Simulation'!$AP$5*Results!D11</f>
        <v>28506.295028966859</v>
      </c>
      <c r="H11" s="25">
        <f t="shared" ca="1" si="3"/>
        <v>77878.5750503155</v>
      </c>
      <c r="I11" s="25">
        <f t="shared" ca="1" si="4"/>
        <v>8449.9714985429782</v>
      </c>
      <c r="J11" s="25">
        <f ca="1">'Single Simulation'!$AP$7*Results!E11</f>
        <v>1515991.9102217283</v>
      </c>
      <c r="K11" s="28" t="str">
        <f t="shared" ca="1" si="5"/>
        <v>No</v>
      </c>
    </row>
    <row r="12" spans="2:14" ht="11.25">
      <c r="B12" s="27">
        <v>10</v>
      </c>
      <c r="C12" s="24">
        <f t="shared" ca="1" si="0"/>
        <v>6.6945789500175698E-2</v>
      </c>
      <c r="D12" s="24">
        <f t="shared" ca="1" si="1"/>
        <v>3.8598720392328527E-2</v>
      </c>
      <c r="E12" s="24">
        <f t="shared" ca="1" si="2"/>
        <v>2.6649636573715461E-2</v>
      </c>
      <c r="F12" s="25">
        <f ca="1">'Single Simulation'!$AP$4*Results!C12</f>
        <v>126935.64763868046</v>
      </c>
      <c r="G12" s="25">
        <f ca="1">'Single Simulation'!$AP$5*Results!D12</f>
        <v>36508.552877780334</v>
      </c>
      <c r="H12" s="25">
        <f t="shared" ca="1" si="3"/>
        <v>90427.09476090013</v>
      </c>
      <c r="I12" s="25">
        <f t="shared" ca="1" si="4"/>
        <v>2409.8492117949181</v>
      </c>
      <c r="J12" s="25">
        <f ca="1">'Single Simulation'!$AP$7*Results!E12</f>
        <v>372349.63043766806</v>
      </c>
      <c r="K12" s="28" t="str">
        <f t="shared" ca="1" si="5"/>
        <v>No</v>
      </c>
    </row>
    <row r="13" spans="2:14" ht="11.25">
      <c r="B13" s="27">
        <v>11</v>
      </c>
      <c r="C13" s="24">
        <f t="shared" ca="1" si="0"/>
        <v>6.6155438964555169E-2</v>
      </c>
      <c r="D13" s="24">
        <f t="shared" ca="1" si="1"/>
        <v>5.3747126894000172E-2</v>
      </c>
      <c r="E13" s="24">
        <f t="shared" ca="1" si="2"/>
        <v>1.3711015999660556E-2</v>
      </c>
      <c r="F13" s="25">
        <f ca="1">'Single Simulation'!$AP$4*Results!C13</f>
        <v>125437.06710285293</v>
      </c>
      <c r="G13" s="25">
        <f ca="1">'Single Simulation'!$AP$5*Results!D13</f>
        <v>50836.654798234369</v>
      </c>
      <c r="H13" s="25">
        <f t="shared" ca="1" si="3"/>
        <v>74600.41230461857</v>
      </c>
      <c r="I13" s="25">
        <f t="shared" ca="1" si="4"/>
        <v>1022.8474466898994</v>
      </c>
      <c r="J13" s="25">
        <f ca="1">'Single Simulation'!$AP$7*Results!E13</f>
        <v>191570.78282387953</v>
      </c>
      <c r="K13" s="28" t="str">
        <f t="shared" ca="1" si="5"/>
        <v>No</v>
      </c>
    </row>
    <row r="14" spans="2:14" ht="11.25">
      <c r="B14" s="27">
        <v>12</v>
      </c>
      <c r="C14" s="24">
        <f t="shared" ca="1" si="0"/>
        <v>6.6071448678475891E-2</v>
      </c>
      <c r="D14" s="24">
        <f t="shared" ca="1" si="1"/>
        <v>2.9200204077293932E-2</v>
      </c>
      <c r="E14" s="24">
        <f t="shared" ca="1" si="2"/>
        <v>6.4103885841322664E-2</v>
      </c>
      <c r="F14" s="25">
        <f ca="1">'Single Simulation'!$AP$4*Results!C14</f>
        <v>125277.81345242279</v>
      </c>
      <c r="G14" s="25">
        <f ca="1">'Single Simulation'!$AP$5*Results!D14</f>
        <v>27618.977617966339</v>
      </c>
      <c r="H14" s="25">
        <f t="shared" ca="1" si="3"/>
        <v>97658.835834456462</v>
      </c>
      <c r="I14" s="25">
        <f t="shared" ca="1" si="4"/>
        <v>6260.3108637284677</v>
      </c>
      <c r="J14" s="25">
        <f ca="1">'Single Simulation'!$AP$7*Results!E14</f>
        <v>895661.67765968747</v>
      </c>
      <c r="K14" s="28" t="str">
        <f t="shared" ca="1" si="5"/>
        <v>No</v>
      </c>
    </row>
    <row r="15" spans="2:14" ht="11.25">
      <c r="B15" s="27">
        <v>13</v>
      </c>
      <c r="C15" s="24">
        <f t="shared" ca="1" si="0"/>
        <v>7.697895753337293E-2</v>
      </c>
      <c r="D15" s="24">
        <f t="shared" ca="1" si="1"/>
        <v>5.9444227857357465E-2</v>
      </c>
      <c r="E15" s="24">
        <f t="shared" ca="1" si="2"/>
        <v>3.9417240347227336E-2</v>
      </c>
      <c r="F15" s="25">
        <f ca="1">'Single Simulation'!$AP$4*Results!C15</f>
        <v>145959.49800582347</v>
      </c>
      <c r="G15" s="25">
        <f ca="1">'Single Simulation'!$AP$5*Results!D15</f>
        <v>56225.250836048144</v>
      </c>
      <c r="H15" s="25">
        <f t="shared" ca="1" si="3"/>
        <v>89734.247169775321</v>
      </c>
      <c r="I15" s="25">
        <f t="shared" ca="1" si="4"/>
        <v>3537.0763880685381</v>
      </c>
      <c r="J15" s="25">
        <f ca="1">'Single Simulation'!$AP$7*Results!E15</f>
        <v>550739.02548595192</v>
      </c>
      <c r="K15" s="28" t="str">
        <f t="shared" ca="1" si="5"/>
        <v>No</v>
      </c>
    </row>
    <row r="16" spans="2:14" ht="11.25">
      <c r="B16" s="27">
        <v>14</v>
      </c>
      <c r="C16" s="24">
        <f t="shared" ca="1" si="0"/>
        <v>2.5498817301551041E-2</v>
      </c>
      <c r="D16" s="24">
        <f t="shared" ca="1" si="1"/>
        <v>5.0394043504523214E-2</v>
      </c>
      <c r="E16" s="24">
        <f t="shared" ca="1" si="2"/>
        <v>1.893960614720365E-2</v>
      </c>
      <c r="F16" s="25">
        <f ca="1">'Single Simulation'!$AP$4*Results!C16</f>
        <v>48348.206994919034</v>
      </c>
      <c r="G16" s="25">
        <f ca="1">'Single Simulation'!$AP$5*Results!D16</f>
        <v>47665.14494028953</v>
      </c>
      <c r="H16" s="25">
        <f t="shared" ca="1" si="3"/>
        <v>683.06205462950311</v>
      </c>
      <c r="I16" s="25">
        <f t="shared" ca="1" si="4"/>
        <v>12.936926288782493</v>
      </c>
      <c r="J16" s="25">
        <f ca="1">'Single Simulation'!$AP$7*Results!E16</f>
        <v>264624.82255768572</v>
      </c>
      <c r="K16" s="28" t="str">
        <f t="shared" ca="1" si="5"/>
        <v>No</v>
      </c>
    </row>
    <row r="17" spans="2:11" ht="11.25">
      <c r="B17" s="27">
        <v>15</v>
      </c>
      <c r="C17" s="24">
        <f t="shared" ca="1" si="0"/>
        <v>4.9646966366341944E-2</v>
      </c>
      <c r="D17" s="24">
        <f t="shared" ca="1" si="1"/>
        <v>6.503151336584756E-2</v>
      </c>
      <c r="E17" s="24">
        <f t="shared" ca="1" si="2"/>
        <v>8.0654348801785458E-2</v>
      </c>
      <c r="F17" s="25">
        <f ca="1">'Single Simulation'!$AP$4*Results!C17</f>
        <v>94135.417269085476</v>
      </c>
      <c r="G17" s="25">
        <f ca="1">'Single Simulation'!$AP$5*Results!D17</f>
        <v>61509.9780590394</v>
      </c>
      <c r="H17" s="25">
        <f t="shared" ca="1" si="3"/>
        <v>32625.439210046075</v>
      </c>
      <c r="I17" s="25">
        <f t="shared" ca="1" si="4"/>
        <v>2631.383553858504</v>
      </c>
      <c r="J17" s="25">
        <f ca="1">'Single Simulation'!$AP$7*Results!E17</f>
        <v>1126905.3101893247</v>
      </c>
      <c r="K17" s="28" t="str">
        <f t="shared" ca="1" si="5"/>
        <v>No</v>
      </c>
    </row>
    <row r="18" spans="2:11" ht="11.25">
      <c r="B18" s="27">
        <v>16</v>
      </c>
      <c r="C18" s="24">
        <f t="shared" ca="1" si="0"/>
        <v>4.1390677085172259E-2</v>
      </c>
      <c r="D18" s="24">
        <f t="shared" ca="1" si="1"/>
        <v>4.3677957135781098E-2</v>
      </c>
      <c r="E18" s="24">
        <f t="shared" ca="1" si="2"/>
        <v>8.4341602329418883E-2</v>
      </c>
      <c r="F18" s="25">
        <f ca="1">'Single Simulation'!$AP$4*Results!C18</f>
        <v>78480.699701002741</v>
      </c>
      <c r="G18" s="25">
        <f ca="1">'Single Simulation'!$AP$5*Results!D18</f>
        <v>41312.742792427307</v>
      </c>
      <c r="H18" s="25">
        <f t="shared" ca="1" si="3"/>
        <v>37167.956908575434</v>
      </c>
      <c r="I18" s="25">
        <f t="shared" ca="1" si="4"/>
        <v>3134.8050409800467</v>
      </c>
      <c r="J18" s="25">
        <f ca="1">'Single Simulation'!$AP$7*Results!E18</f>
        <v>1178423.7421404165</v>
      </c>
      <c r="K18" s="28" t="str">
        <f t="shared" ca="1" si="5"/>
        <v>No</v>
      </c>
    </row>
    <row r="19" spans="2:11" ht="11.25">
      <c r="B19" s="27">
        <v>17</v>
      </c>
      <c r="C19" s="24">
        <f t="shared" ca="1" si="0"/>
        <v>7.3779952388349071E-2</v>
      </c>
      <c r="D19" s="24">
        <f t="shared" ca="1" si="1"/>
        <v>0.02</v>
      </c>
      <c r="E19" s="24">
        <f t="shared" ca="1" si="2"/>
        <v>8.3500596231129195E-2</v>
      </c>
      <c r="F19" s="25">
        <f ca="1">'Single Simulation'!$AP$4*Results!C19</f>
        <v>139893.876957587</v>
      </c>
      <c r="G19" s="25">
        <f ca="1">'Single Simulation'!$AP$5*Results!D19</f>
        <v>18916.975747743385</v>
      </c>
      <c r="H19" s="25">
        <f t="shared" ca="1" si="3"/>
        <v>120976.90120984361</v>
      </c>
      <c r="I19" s="25">
        <f t="shared" ca="1" si="4"/>
        <v>10101.643381216356</v>
      </c>
      <c r="J19" s="25">
        <f ca="1">'Single Simulation'!$AP$7*Results!E19</f>
        <v>1166673.1762733066</v>
      </c>
      <c r="K19" s="28" t="str">
        <f t="shared" ca="1" si="5"/>
        <v>No</v>
      </c>
    </row>
    <row r="20" spans="2:11" ht="11.25">
      <c r="B20" s="27">
        <v>18</v>
      </c>
      <c r="C20" s="24">
        <f t="shared" ca="1" si="0"/>
        <v>6.0215203796319103E-2</v>
      </c>
      <c r="D20" s="24">
        <f t="shared" ca="1" si="1"/>
        <v>3.6621121436138791E-2</v>
      </c>
      <c r="E20" s="24">
        <f t="shared" ca="1" si="2"/>
        <v>8.6097757435674716E-2</v>
      </c>
      <c r="F20" s="25">
        <f ca="1">'Single Simulation'!$AP$4*Results!C20</f>
        <v>114173.81061076044</v>
      </c>
      <c r="G20" s="25">
        <f ca="1">'Single Simulation'!$AP$5*Results!D20</f>
        <v>34638.043303130144</v>
      </c>
      <c r="H20" s="25">
        <f t="shared" ca="1" si="3"/>
        <v>79535.767307630304</v>
      </c>
      <c r="I20" s="25">
        <f t="shared" ca="1" si="4"/>
        <v>6847.8512011126213</v>
      </c>
      <c r="J20" s="25">
        <f ca="1">'Single Simulation'!$AP$7*Results!E20</f>
        <v>1202960.8011354548</v>
      </c>
      <c r="K20" s="28" t="str">
        <f t="shared" ca="1" si="5"/>
        <v>No</v>
      </c>
    </row>
    <row r="21" spans="2:11" ht="11.25">
      <c r="B21" s="27">
        <v>19</v>
      </c>
      <c r="C21" s="24">
        <f t="shared" ca="1" si="0"/>
        <v>6.2257394867259994E-2</v>
      </c>
      <c r="D21" s="24">
        <f t="shared" ca="1" si="1"/>
        <v>2.9850923256012959E-2</v>
      </c>
      <c r="E21" s="24">
        <f t="shared" ca="1" si="2"/>
        <v>0.13373516530528406</v>
      </c>
      <c r="F21" s="25">
        <f ca="1">'Single Simulation'!$AP$4*Results!C21</f>
        <v>118046.00105211945</v>
      </c>
      <c r="G21" s="25">
        <f ca="1">'Single Simulation'!$AP$5*Results!D21</f>
        <v>28234.459564087305</v>
      </c>
      <c r="H21" s="25">
        <f t="shared" ca="1" si="3"/>
        <v>89811.541488032148</v>
      </c>
      <c r="I21" s="25">
        <f t="shared" ca="1" si="4"/>
        <v>12010.961347224358</v>
      </c>
      <c r="J21" s="25">
        <f ca="1">'Single Simulation'!$AP$7*Results!E21</f>
        <v>1868552.2873905532</v>
      </c>
      <c r="K21" s="28" t="str">
        <f t="shared" ca="1" si="5"/>
        <v>No</v>
      </c>
    </row>
    <row r="22" spans="2:11" ht="11.25">
      <c r="B22" s="27">
        <v>20</v>
      </c>
      <c r="C22" s="24">
        <f t="shared" ca="1" si="0"/>
        <v>4.6440030638884675E-2</v>
      </c>
      <c r="D22" s="24">
        <f t="shared" ca="1" si="1"/>
        <v>4.0003492152559744E-2</v>
      </c>
      <c r="E22" s="24">
        <f t="shared" ca="1" si="2"/>
        <v>8.3548929722017634E-2</v>
      </c>
      <c r="F22" s="25">
        <f ca="1">'Single Simulation'!$AP$4*Results!C22</f>
        <v>88054.759074751346</v>
      </c>
      <c r="G22" s="25">
        <f ca="1">'Single Simulation'!$AP$5*Results!D22</f>
        <v>37837.254543750772</v>
      </c>
      <c r="H22" s="25">
        <f t="shared" ca="1" si="3"/>
        <v>50217.504531000573</v>
      </c>
      <c r="I22" s="25">
        <f t="shared" ca="1" si="4"/>
        <v>4195.6187568756686</v>
      </c>
      <c r="J22" s="25">
        <f ca="1">'Single Simulation'!$AP$7*Results!E22</f>
        <v>1167348.4934552235</v>
      </c>
      <c r="K22" s="28" t="str">
        <f t="shared" ca="1" si="5"/>
        <v>No</v>
      </c>
    </row>
    <row r="23" spans="2:11" ht="11.25">
      <c r="B23" s="27">
        <v>21</v>
      </c>
      <c r="C23" s="24">
        <f t="shared" ca="1" si="0"/>
        <v>7.3255717880759366E-2</v>
      </c>
      <c r="D23" s="24">
        <f t="shared" ca="1" si="1"/>
        <v>3.6361444366858273E-2</v>
      </c>
      <c r="E23" s="24">
        <f t="shared" ca="1" si="2"/>
        <v>0.12826302078436219</v>
      </c>
      <c r="F23" s="25">
        <f ca="1">'Single Simulation'!$AP$4*Results!C23</f>
        <v>138899.87797374843</v>
      </c>
      <c r="G23" s="25">
        <f ca="1">'Single Simulation'!$AP$5*Results!D23</f>
        <v>34392.428062038911</v>
      </c>
      <c r="H23" s="25">
        <f t="shared" ca="1" si="3"/>
        <v>104507.44991170953</v>
      </c>
      <c r="I23" s="25">
        <f t="shared" ca="1" si="4"/>
        <v>13404.441220146289</v>
      </c>
      <c r="J23" s="25">
        <f ca="1">'Single Simulation'!$AP$7*Results!E23</f>
        <v>1792095.2976514734</v>
      </c>
      <c r="K23" s="28" t="str">
        <f t="shared" ca="1" si="5"/>
        <v>No</v>
      </c>
    </row>
    <row r="24" spans="2:11" ht="11.25">
      <c r="B24" s="27">
        <v>22</v>
      </c>
      <c r="C24" s="24">
        <f t="shared" ca="1" si="0"/>
        <v>6.975066740841937E-2</v>
      </c>
      <c r="D24" s="24">
        <f t="shared" ca="1" si="1"/>
        <v>5.6096099002257087E-2</v>
      </c>
      <c r="E24" s="24">
        <f t="shared" ca="1" si="2"/>
        <v>4.7032073684728067E-2</v>
      </c>
      <c r="F24" s="25">
        <f ca="1">'Single Simulation'!$AP$4*Results!C24</f>
        <v>132253.96558650903</v>
      </c>
      <c r="G24" s="25">
        <f ca="1">'Single Simulation'!$AP$5*Results!D24</f>
        <v>53058.427218435456</v>
      </c>
      <c r="H24" s="25">
        <f t="shared" ca="1" si="3"/>
        <v>79195.538368073583</v>
      </c>
      <c r="I24" s="25">
        <f t="shared" ca="1" si="4"/>
        <v>3724.7303960289455</v>
      </c>
      <c r="J24" s="25">
        <f ca="1">'Single Simulation'!$AP$7*Results!E24</f>
        <v>657133.73639391863</v>
      </c>
      <c r="K24" s="28" t="str">
        <f t="shared" ca="1" si="5"/>
        <v>No</v>
      </c>
    </row>
    <row r="25" spans="2:11" ht="11.25">
      <c r="B25" s="27">
        <v>23</v>
      </c>
      <c r="C25" s="24">
        <f t="shared" ca="1" si="0"/>
        <v>7.5323883253202023E-2</v>
      </c>
      <c r="D25" s="24">
        <f t="shared" ca="1" si="1"/>
        <v>4.4552659533267952E-2</v>
      </c>
      <c r="E25" s="24">
        <f t="shared" ca="1" si="2"/>
        <v>2.4956036254558403E-2</v>
      </c>
      <c r="F25" s="25">
        <f ca="1">'Single Simulation'!$AP$4*Results!C25</f>
        <v>142821.31818582051</v>
      </c>
      <c r="G25" s="25">
        <f ca="1">'Single Simulation'!$AP$5*Results!D25</f>
        <v>42140.078994414893</v>
      </c>
      <c r="H25" s="25">
        <f t="shared" ca="1" si="3"/>
        <v>100681.23919140562</v>
      </c>
      <c r="I25" s="25">
        <f t="shared" ca="1" si="4"/>
        <v>2512.6046554145851</v>
      </c>
      <c r="J25" s="25">
        <f ca="1">'Single Simulation'!$AP$7*Results!E25</f>
        <v>348686.58905986481</v>
      </c>
      <c r="K25" s="28" t="str">
        <f t="shared" ca="1" si="5"/>
        <v>No</v>
      </c>
    </row>
    <row r="26" spans="2:11" ht="11.25">
      <c r="B26" s="27">
        <v>24</v>
      </c>
      <c r="C26" s="24">
        <f t="shared" ca="1" si="0"/>
        <v>8.5059353878094726E-2</v>
      </c>
      <c r="D26" s="24">
        <f t="shared" ca="1" si="1"/>
        <v>0.08</v>
      </c>
      <c r="E26" s="24">
        <f t="shared" ca="1" si="2"/>
        <v>5.630181397642537E-2</v>
      </c>
      <c r="F26" s="25">
        <f ca="1">'Single Simulation'!$AP$4*Results!C26</f>
        <v>161280.70567029945</v>
      </c>
      <c r="G26" s="25">
        <f ca="1">'Single Simulation'!$AP$5*Results!D26</f>
        <v>75667.90299097354</v>
      </c>
      <c r="H26" s="25">
        <f t="shared" ca="1" si="3"/>
        <v>85612.802679325905</v>
      </c>
      <c r="I26" s="25">
        <f t="shared" ca="1" si="4"/>
        <v>4820.1560904518183</v>
      </c>
      <c r="J26" s="25">
        <f ca="1">'Single Simulation'!$AP$7*Results!E26</f>
        <v>786650.86366577609</v>
      </c>
      <c r="K26" s="28" t="str">
        <f t="shared" ca="1" si="5"/>
        <v>No</v>
      </c>
    </row>
    <row r="27" spans="2:11" ht="11.25">
      <c r="B27" s="27">
        <v>25</v>
      </c>
      <c r="C27" s="24">
        <f t="shared" ca="1" si="0"/>
        <v>8.1659284904819551E-2</v>
      </c>
      <c r="D27" s="24">
        <f t="shared" ca="1" si="1"/>
        <v>5.2666637388190399E-2</v>
      </c>
      <c r="E27" s="24">
        <f t="shared" ca="1" si="2"/>
        <v>0.10654953698609348</v>
      </c>
      <c r="F27" s="25">
        <f ca="1">'Single Simulation'!$AP$4*Results!C27</f>
        <v>154833.84828970593</v>
      </c>
      <c r="G27" s="25">
        <f ca="1">'Single Simulation'!$AP$5*Results!D27</f>
        <v>49814.675109379634</v>
      </c>
      <c r="H27" s="25">
        <f t="shared" ca="1" si="3"/>
        <v>105019.1731803263</v>
      </c>
      <c r="I27" s="25">
        <f t="shared" ca="1" si="4"/>
        <v>11189.744277026133</v>
      </c>
      <c r="J27" s="25">
        <f ca="1">'Single Simulation'!$AP$7*Results!E27</f>
        <v>1488713.7620183048</v>
      </c>
      <c r="K27" s="28" t="str">
        <f t="shared" ca="1" si="5"/>
        <v>No</v>
      </c>
    </row>
    <row r="28" spans="2:11" ht="11.25">
      <c r="B28" s="27">
        <v>26</v>
      </c>
      <c r="C28" s="24">
        <f t="shared" ca="1" si="0"/>
        <v>3.034442328792375E-2</v>
      </c>
      <c r="D28" s="24">
        <f t="shared" ca="1" si="1"/>
        <v>5.3671171654017538E-2</v>
      </c>
      <c r="E28" s="24">
        <f t="shared" ca="1" si="2"/>
        <v>8.5623447439542658E-2</v>
      </c>
      <c r="F28" s="25">
        <f ca="1">'Single Simulation'!$AP$4*Results!C28</f>
        <v>57535.941409201689</v>
      </c>
      <c r="G28" s="25">
        <f ca="1">'Single Simulation'!$AP$5*Results!D28</f>
        <v>50764.812626601095</v>
      </c>
      <c r="H28" s="25">
        <f t="shared" ca="1" si="3"/>
        <v>6771.1287826005937</v>
      </c>
      <c r="I28" s="25">
        <f t="shared" ca="1" si="4"/>
        <v>579.76738942337636</v>
      </c>
      <c r="J28" s="25">
        <f ca="1">'Single Simulation'!$AP$7*Results!E28</f>
        <v>1196333.7257048332</v>
      </c>
      <c r="K28" s="28" t="str">
        <f t="shared" ca="1" si="5"/>
        <v>No</v>
      </c>
    </row>
    <row r="29" spans="2:11" ht="11.25">
      <c r="B29" s="27">
        <v>27</v>
      </c>
      <c r="C29" s="24">
        <f t="shared" ca="1" si="0"/>
        <v>4.1079257733513994E-2</v>
      </c>
      <c r="D29" s="24">
        <f t="shared" ca="1" si="1"/>
        <v>6.7190831113551161E-2</v>
      </c>
      <c r="E29" s="24">
        <f t="shared" ca="1" si="2"/>
        <v>7.5112053456913214E-2</v>
      </c>
      <c r="F29" s="25">
        <f ca="1">'Single Simulation'!$AP$4*Results!C29</f>
        <v>77890.218695623669</v>
      </c>
      <c r="G29" s="25">
        <f ca="1">'Single Simulation'!$AP$5*Results!D29</f>
        <v>63552.366132288444</v>
      </c>
      <c r="H29" s="25">
        <f t="shared" ca="1" si="3"/>
        <v>14337.852563335226</v>
      </c>
      <c r="I29" s="25">
        <f t="shared" ca="1" si="4"/>
        <v>1076.9455481945756</v>
      </c>
      <c r="J29" s="25">
        <f ca="1">'Single Simulation'!$AP$7*Results!E29</f>
        <v>1049468.1707472436</v>
      </c>
      <c r="K29" s="28" t="str">
        <f t="shared" ca="1" si="5"/>
        <v>No</v>
      </c>
    </row>
    <row r="30" spans="2:11" ht="11.25">
      <c r="B30" s="27">
        <v>28</v>
      </c>
      <c r="C30" s="24">
        <f t="shared" ca="1" si="0"/>
        <v>9.3669537266762887E-2</v>
      </c>
      <c r="D30" s="24">
        <f t="shared" ca="1" si="1"/>
        <v>0.02</v>
      </c>
      <c r="E30" s="24">
        <f t="shared" ca="1" si="2"/>
        <v>0.10323138434032192</v>
      </c>
      <c r="F30" s="25">
        <f ca="1">'Single Simulation'!$AP$4*Results!C30</f>
        <v>177606.44046091737</v>
      </c>
      <c r="G30" s="25">
        <f ca="1">'Single Simulation'!$AP$5*Results!D30</f>
        <v>18916.975747743385</v>
      </c>
      <c r="H30" s="25">
        <f t="shared" ca="1" si="3"/>
        <v>158689.46471317398</v>
      </c>
      <c r="I30" s="25">
        <f t="shared" ca="1" si="4"/>
        <v>16381.733122565616</v>
      </c>
      <c r="J30" s="25">
        <f ca="1">'Single Simulation'!$AP$7*Results!E30</f>
        <v>1442352.4201676848</v>
      </c>
      <c r="K30" s="28" t="str">
        <f t="shared" ca="1" si="5"/>
        <v>No</v>
      </c>
    </row>
    <row r="31" spans="2:11" ht="11.25">
      <c r="B31" s="27">
        <v>29</v>
      </c>
      <c r="C31" s="24">
        <f t="shared" ca="1" si="0"/>
        <v>3.0531916325311468E-2</v>
      </c>
      <c r="D31" s="24">
        <f t="shared" ca="1" si="1"/>
        <v>3.8315982750880509E-2</v>
      </c>
      <c r="E31" s="24">
        <f t="shared" ca="1" si="2"/>
        <v>0.10615598809469177</v>
      </c>
      <c r="F31" s="25">
        <f ca="1">'Single Simulation'!$AP$4*Results!C31</f>
        <v>57891.446218484591</v>
      </c>
      <c r="G31" s="25">
        <f ca="1">'Single Simulation'!$AP$5*Results!D31</f>
        <v>36241.12582246802</v>
      </c>
      <c r="H31" s="25">
        <f t="shared" ca="1" si="3"/>
        <v>21650.32039601657</v>
      </c>
      <c r="I31" s="25">
        <f t="shared" ca="1" si="4"/>
        <v>2298.3111542057977</v>
      </c>
      <c r="J31" s="25">
        <f ca="1">'Single Simulation'!$AP$7*Results!E31</f>
        <v>1483215.0834953447</v>
      </c>
      <c r="K31" s="28" t="str">
        <f t="shared" ca="1" si="5"/>
        <v>No</v>
      </c>
    </row>
    <row r="32" spans="2:11" ht="11.25">
      <c r="B32" s="27">
        <v>30</v>
      </c>
      <c r="C32" s="24">
        <f t="shared" ca="1" si="0"/>
        <v>9.5694349413990437E-2</v>
      </c>
      <c r="D32" s="24">
        <f t="shared" ca="1" si="1"/>
        <v>5.2843730774937009E-2</v>
      </c>
      <c r="E32" s="24">
        <f t="shared" ca="1" si="2"/>
        <v>3.917124844901658E-2</v>
      </c>
      <c r="F32" s="25">
        <f ca="1">'Single Simulation'!$AP$4*Results!C32</f>
        <v>181445.67879351365</v>
      </c>
      <c r="G32" s="25">
        <f ca="1">'Single Simulation'!$AP$5*Results!D32</f>
        <v>49982.178674488205</v>
      </c>
      <c r="H32" s="25">
        <f t="shared" ca="1" si="3"/>
        <v>131463.50011902544</v>
      </c>
      <c r="I32" s="25">
        <f t="shared" ca="1" si="4"/>
        <v>5149.5894251396667</v>
      </c>
      <c r="J32" s="25">
        <f ca="1">'Single Simulation'!$AP$7*Results!E32</f>
        <v>547302.01830065413</v>
      </c>
      <c r="K32" s="28" t="str">
        <f t="shared" ca="1" si="5"/>
        <v>No</v>
      </c>
    </row>
    <row r="33" spans="2:11" ht="11.25">
      <c r="B33" s="27">
        <v>31</v>
      </c>
      <c r="C33" s="24">
        <f t="shared" ca="1" si="0"/>
        <v>5.5689716517299689E-2</v>
      </c>
      <c r="D33" s="24">
        <f t="shared" ca="1" si="1"/>
        <v>4.026573264039722E-2</v>
      </c>
      <c r="E33" s="24">
        <f t="shared" ca="1" si="2"/>
        <v>0.11545766443120609</v>
      </c>
      <c r="F33" s="25">
        <f ca="1">'Single Simulation'!$AP$4*Results!C33</f>
        <v>105593.05201590616</v>
      </c>
      <c r="G33" s="25">
        <f ca="1">'Single Simulation'!$AP$5*Results!D33</f>
        <v>38085.294391175667</v>
      </c>
      <c r="H33" s="25">
        <f t="shared" ca="1" si="3"/>
        <v>67507.757624730497</v>
      </c>
      <c r="I33" s="25">
        <f t="shared" ca="1" si="4"/>
        <v>7794.2880263393281</v>
      </c>
      <c r="J33" s="25">
        <f ca="1">'Single Simulation'!$AP$7*Results!E33</f>
        <v>1613178.4222737779</v>
      </c>
      <c r="K33" s="28" t="str">
        <f t="shared" ca="1" si="5"/>
        <v>No</v>
      </c>
    </row>
    <row r="34" spans="2:11" ht="11.25">
      <c r="B34" s="27">
        <v>32</v>
      </c>
      <c r="C34" s="24">
        <f t="shared" ca="1" si="0"/>
        <v>5.6976139296310027E-2</v>
      </c>
      <c r="D34" s="24">
        <f t="shared" ca="1" si="1"/>
        <v>4.2542536785915512E-2</v>
      </c>
      <c r="E34" s="24">
        <f t="shared" ca="1" si="2"/>
        <v>4.6883555777705241E-2</v>
      </c>
      <c r="F34" s="25">
        <f ca="1">'Single Simulation'!$AP$4*Results!C34</f>
        <v>108032.23317740996</v>
      </c>
      <c r="G34" s="25">
        <f ca="1">'Single Simulation'!$AP$5*Results!D34</f>
        <v>40238.806831332229</v>
      </c>
      <c r="H34" s="25">
        <f t="shared" ca="1" si="3"/>
        <v>67793.426346077729</v>
      </c>
      <c r="I34" s="25">
        <f t="shared" ca="1" si="4"/>
        <v>3178.3968854580871</v>
      </c>
      <c r="J34" s="25">
        <f ca="1">'Single Simulation'!$AP$7*Results!E34</f>
        <v>655058.63913544919</v>
      </c>
      <c r="K34" s="28" t="str">
        <f t="shared" ca="1" si="5"/>
        <v>No</v>
      </c>
    </row>
    <row r="35" spans="2:11" ht="11.25">
      <c r="B35" s="27">
        <v>33</v>
      </c>
      <c r="C35" s="24">
        <f t="shared" ca="1" si="0"/>
        <v>6.9543332740608782E-2</v>
      </c>
      <c r="D35" s="24">
        <f t="shared" ca="1" si="1"/>
        <v>4.6750924516686547E-2</v>
      </c>
      <c r="E35" s="24">
        <f t="shared" ca="1" si="2"/>
        <v>0.15472468791194088</v>
      </c>
      <c r="F35" s="25">
        <f ca="1">'Single Simulation'!$AP$4*Results!C35</f>
        <v>131860.83913997698</v>
      </c>
      <c r="G35" s="25">
        <f ca="1">'Single Simulation'!$AP$5*Results!D35</f>
        <v>44219.305263337046</v>
      </c>
      <c r="H35" s="25">
        <f t="shared" ca="1" si="3"/>
        <v>87641.533876639936</v>
      </c>
      <c r="I35" s="25">
        <f t="shared" ca="1" si="4"/>
        <v>13560.308977186909</v>
      </c>
      <c r="J35" s="25">
        <f ca="1">'Single Simulation'!$AP$7*Results!E35</f>
        <v>2161818.6125816484</v>
      </c>
      <c r="K35" s="28" t="str">
        <f t="shared" ca="1" si="5"/>
        <v>No</v>
      </c>
    </row>
    <row r="36" spans="2:11" ht="11.25">
      <c r="B36" s="27">
        <v>34</v>
      </c>
      <c r="C36" s="24">
        <f t="shared" ca="1" si="0"/>
        <v>4.2618449017520335E-2</v>
      </c>
      <c r="D36" s="24">
        <f t="shared" ca="1" si="1"/>
        <v>4.8174804916038358E-2</v>
      </c>
      <c r="E36" s="24">
        <f t="shared" ca="1" si="2"/>
        <v>9.3064009286482147E-2</v>
      </c>
      <c r="F36" s="25">
        <f ca="1">'Single Simulation'!$AP$4*Results!C36</f>
        <v>80808.673223292571</v>
      </c>
      <c r="G36" s="25">
        <f ca="1">'Single Simulation'!$AP$5*Results!D36</f>
        <v>45566.080812448316</v>
      </c>
      <c r="H36" s="25">
        <f t="shared" ca="1" si="3"/>
        <v>35242.592410844256</v>
      </c>
      <c r="I36" s="25">
        <f t="shared" ca="1" si="4"/>
        <v>3279.8169474025149</v>
      </c>
      <c r="J36" s="25">
        <f ca="1">'Single Simulation'!$AP$7*Results!E36</f>
        <v>1300293.5094074397</v>
      </c>
      <c r="K36" s="28" t="str">
        <f t="shared" ca="1" si="5"/>
        <v>No</v>
      </c>
    </row>
    <row r="37" spans="2:11" ht="11.25">
      <c r="B37" s="27">
        <v>35</v>
      </c>
      <c r="C37" s="24">
        <f t="shared" ca="1" si="0"/>
        <v>6.6907684618104465E-2</v>
      </c>
      <c r="D37" s="24">
        <f t="shared" ca="1" si="1"/>
        <v>6.7365249364441229E-2</v>
      </c>
      <c r="E37" s="24">
        <f t="shared" ca="1" si="2"/>
        <v>2.6983632587491285E-3</v>
      </c>
      <c r="F37" s="25">
        <f ca="1">'Single Simulation'!$AP$4*Results!C37</f>
        <v>126863.39712195611</v>
      </c>
      <c r="G37" s="25">
        <f ca="1">'Single Simulation'!$AP$5*Results!D37</f>
        <v>63717.339423391008</v>
      </c>
      <c r="H37" s="25">
        <f t="shared" ca="1" si="3"/>
        <v>63146.057698565099</v>
      </c>
      <c r="I37" s="25">
        <f t="shared" ca="1" si="4"/>
        <v>170.39100202866061</v>
      </c>
      <c r="J37" s="25">
        <f ca="1">'Single Simulation'!$AP$7*Results!E37</f>
        <v>37701.62341248546</v>
      </c>
      <c r="K37" s="28" t="str">
        <f t="shared" ca="1" si="5"/>
        <v>No</v>
      </c>
    </row>
    <row r="38" spans="2:11" ht="11.25">
      <c r="B38" s="27">
        <v>36</v>
      </c>
      <c r="C38" s="24">
        <f t="shared" ca="1" si="0"/>
        <v>5.0502527740868802E-2</v>
      </c>
      <c r="D38" s="24">
        <f t="shared" ca="1" si="1"/>
        <v>6.536900769448413E-2</v>
      </c>
      <c r="E38" s="24">
        <f t="shared" ca="1" si="2"/>
        <v>4.5248276437157064E-2</v>
      </c>
      <c r="F38" s="25">
        <f ca="1">'Single Simulation'!$AP$4*Results!C38</f>
        <v>95757.643819568111</v>
      </c>
      <c r="G38" s="25">
        <f ca="1">'Single Simulation'!$AP$5*Results!D38</f>
        <v>61829.196660530346</v>
      </c>
      <c r="H38" s="25">
        <f t="shared" ca="1" si="3"/>
        <v>33928.447159037765</v>
      </c>
      <c r="I38" s="25">
        <f t="shared" ca="1" si="4"/>
        <v>1535.2037561356171</v>
      </c>
      <c r="J38" s="25">
        <f ca="1">'Single Simulation'!$AP$7*Results!E38</f>
        <v>632210.46045837027</v>
      </c>
      <c r="K38" s="28" t="str">
        <f t="shared" ca="1" si="5"/>
        <v>No</v>
      </c>
    </row>
    <row r="39" spans="2:11" ht="11.25">
      <c r="B39" s="27">
        <v>37</v>
      </c>
      <c r="C39" s="24">
        <f t="shared" ca="1" si="0"/>
        <v>9.4908418083107876E-2</v>
      </c>
      <c r="D39" s="24">
        <f t="shared" ca="1" si="1"/>
        <v>4.8623564521497291E-2</v>
      </c>
      <c r="E39" s="24">
        <f t="shared" ca="1" si="2"/>
        <v>7.436930093493728E-2</v>
      </c>
      <c r="F39" s="25">
        <f ca="1">'Single Simulation'!$AP$4*Results!C39</f>
        <v>179955.47749437374</v>
      </c>
      <c r="G39" s="25">
        <f ca="1">'Single Simulation'!$AP$5*Results!D39</f>
        <v>45990.539541099992</v>
      </c>
      <c r="H39" s="25">
        <f t="shared" ca="1" si="3"/>
        <v>133964.93795327377</v>
      </c>
      <c r="I39" s="25">
        <f t="shared" ca="1" si="4"/>
        <v>9962.8787853772174</v>
      </c>
      <c r="J39" s="25">
        <f ca="1">'Single Simulation'!$AP$7*Results!E39</f>
        <v>1039090.4071969083</v>
      </c>
      <c r="K39" s="28" t="str">
        <f t="shared" ca="1" si="5"/>
        <v>No</v>
      </c>
    </row>
    <row r="40" spans="2:11" ht="11.25">
      <c r="B40" s="27">
        <v>38</v>
      </c>
      <c r="C40" s="24">
        <f t="shared" ca="1" si="0"/>
        <v>3.6123330365028961E-2</v>
      </c>
      <c r="D40" s="24">
        <f t="shared" ca="1" si="1"/>
        <v>0.02</v>
      </c>
      <c r="E40" s="24">
        <f t="shared" ca="1" si="2"/>
        <v>4.9981513717348824E-2</v>
      </c>
      <c r="F40" s="25">
        <f ca="1">'Single Simulation'!$AP$4*Results!C40</f>
        <v>68493.304343493146</v>
      </c>
      <c r="G40" s="25">
        <f ca="1">'Single Simulation'!$AP$5*Results!D40</f>
        <v>18916.975747743385</v>
      </c>
      <c r="H40" s="25">
        <f t="shared" ca="1" si="3"/>
        <v>49576.328595749757</v>
      </c>
      <c r="I40" s="25">
        <f t="shared" ca="1" si="4"/>
        <v>2477.8999477642592</v>
      </c>
      <c r="J40" s="25">
        <f ca="1">'Single Simulation'!$AP$7*Results!E40</f>
        <v>698343.41304773011</v>
      </c>
      <c r="K40" s="28" t="str">
        <f t="shared" ca="1" si="5"/>
        <v>No</v>
      </c>
    </row>
    <row r="41" spans="2:11" ht="11.25">
      <c r="B41" s="27">
        <v>39</v>
      </c>
      <c r="C41" s="24">
        <f t="shared" ca="1" si="0"/>
        <v>6.0222419985247792E-2</v>
      </c>
      <c r="D41" s="24">
        <f t="shared" ca="1" si="1"/>
        <v>5.4330946063000457E-2</v>
      </c>
      <c r="E41" s="24">
        <f t="shared" ca="1" si="2"/>
        <v>2.4784072718782628E-2</v>
      </c>
      <c r="F41" s="25">
        <f ca="1">'Single Simulation'!$AP$4*Results!C41</f>
        <v>114187.49319814921</v>
      </c>
      <c r="G41" s="25">
        <f ca="1">'Single Simulation'!$AP$5*Results!D41</f>
        <v>51388.859451286677</v>
      </c>
      <c r="H41" s="25">
        <f t="shared" ca="1" si="3"/>
        <v>62798.633746862535</v>
      </c>
      <c r="I41" s="25">
        <f t="shared" ca="1" si="4"/>
        <v>1556.4059054224379</v>
      </c>
      <c r="J41" s="25">
        <f ca="1">'Single Simulation'!$AP$7*Results!E41</f>
        <v>346283.9086774232</v>
      </c>
      <c r="K41" s="28" t="str">
        <f t="shared" ca="1" si="5"/>
        <v>No</v>
      </c>
    </row>
    <row r="42" spans="2:11" ht="11.25">
      <c r="B42" s="27">
        <v>40</v>
      </c>
      <c r="C42" s="24">
        <f t="shared" ca="1" si="0"/>
        <v>7.9633724087945182E-2</v>
      </c>
      <c r="D42" s="24">
        <f t="shared" ca="1" si="1"/>
        <v>6.5195512050216231E-2</v>
      </c>
      <c r="E42" s="24">
        <f t="shared" ca="1" si="2"/>
        <v>0.10726987944577589</v>
      </c>
      <c r="F42" s="25">
        <f ca="1">'Single Simulation'!$AP$4*Results!C42</f>
        <v>150993.1904075428</v>
      </c>
      <c r="G42" s="25">
        <f ca="1">'Single Simulation'!$AP$5*Results!D42</f>
        <v>61665.096015782598</v>
      </c>
      <c r="H42" s="25">
        <f t="shared" ca="1" si="3"/>
        <v>89328.094391760213</v>
      </c>
      <c r="I42" s="25">
        <f t="shared" ca="1" si="4"/>
        <v>9582.2139165250064</v>
      </c>
      <c r="J42" s="25">
        <f ca="1">'Single Simulation'!$AP$7*Results!E42</f>
        <v>1498778.4114145315</v>
      </c>
      <c r="K42" s="28" t="str">
        <f t="shared" ca="1" si="5"/>
        <v>No</v>
      </c>
    </row>
    <row r="43" spans="2:11" ht="11.25">
      <c r="B43" s="27">
        <v>41</v>
      </c>
      <c r="C43" s="24">
        <f t="shared" ca="1" si="0"/>
        <v>4.7336839269838345E-2</v>
      </c>
      <c r="D43" s="24">
        <f t="shared" ca="1" si="1"/>
        <v>6.9843981998170671E-2</v>
      </c>
      <c r="E43" s="24">
        <f t="shared" ca="1" si="2"/>
        <v>2.4310783684299363E-2</v>
      </c>
      <c r="F43" s="25">
        <f ca="1">'Single Simulation'!$AP$4*Results!C43</f>
        <v>89755.194385589886</v>
      </c>
      <c r="G43" s="25">
        <f ca="1">'Single Simulation'!$AP$5*Results!D43</f>
        <v>66061.845679261009</v>
      </c>
      <c r="H43" s="25">
        <f t="shared" ca="1" si="3"/>
        <v>23693.348706328878</v>
      </c>
      <c r="I43" s="25">
        <f t="shared" ca="1" si="4"/>
        <v>576.00387515623549</v>
      </c>
      <c r="J43" s="25">
        <f ca="1">'Single Simulation'!$AP$7*Results!E43</f>
        <v>339671.09815775335</v>
      </c>
      <c r="K43" s="28" t="str">
        <f t="shared" ca="1" si="5"/>
        <v>No</v>
      </c>
    </row>
    <row r="44" spans="2:11" ht="11.25">
      <c r="B44" s="27">
        <v>42</v>
      </c>
      <c r="C44" s="24">
        <f t="shared" ca="1" si="0"/>
        <v>3.6970224313722252E-2</v>
      </c>
      <c r="D44" s="24">
        <f t="shared" ca="1" si="1"/>
        <v>7.4674373581177997E-2</v>
      </c>
      <c r="E44" s="24">
        <f t="shared" ca="1" si="2"/>
        <v>5.4906882902341254E-2</v>
      </c>
      <c r="F44" s="25">
        <f ca="1">'Single Simulation'!$AP$4*Results!C44</f>
        <v>70099.096622010984</v>
      </c>
      <c r="G44" s="25">
        <f ca="1">'Single Simulation'!$AP$5*Results!D44</f>
        <v>70630.66570065367</v>
      </c>
      <c r="H44" s="25">
        <f t="shared" ca="1" si="3"/>
        <v>-531.56907864268578</v>
      </c>
      <c r="I44" s="25">
        <f t="shared" ca="1" si="4"/>
        <v>-29.186801155539378</v>
      </c>
      <c r="J44" s="25">
        <f ca="1">'Single Simulation'!$AP$7*Results!E44</f>
        <v>767160.8391588931</v>
      </c>
      <c r="K44" s="28" t="str">
        <f t="shared" ca="1" si="5"/>
        <v>No</v>
      </c>
    </row>
    <row r="45" spans="2:11" ht="11.25">
      <c r="B45" s="27">
        <v>43</v>
      </c>
      <c r="C45" s="24">
        <f t="shared" ca="1" si="0"/>
        <v>4.8639154579554963E-2</v>
      </c>
      <c r="D45" s="24">
        <f t="shared" ca="1" si="1"/>
        <v>5.9851672993808183E-2</v>
      </c>
      <c r="E45" s="24">
        <f t="shared" ca="1" si="2"/>
        <v>0.14954361943117905</v>
      </c>
      <c r="F45" s="25">
        <f ca="1">'Single Simulation'!$AP$4*Results!C45</f>
        <v>92224.509311933594</v>
      </c>
      <c r="G45" s="25">
        <f ca="1">'Single Simulation'!$AP$5*Results!D45</f>
        <v>56610.632324286853</v>
      </c>
      <c r="H45" s="25">
        <f t="shared" ca="1" si="3"/>
        <v>35613.876987646741</v>
      </c>
      <c r="I45" s="25">
        <f t="shared" ca="1" si="4"/>
        <v>5325.8280667094696</v>
      </c>
      <c r="J45" s="25">
        <f ca="1">'Single Simulation'!$AP$7*Results!E45</f>
        <v>2089428.5471956665</v>
      </c>
      <c r="K45" s="28" t="str">
        <f t="shared" ca="1" si="5"/>
        <v>No</v>
      </c>
    </row>
    <row r="46" spans="2:11" ht="11.25">
      <c r="B46" s="27">
        <v>44</v>
      </c>
      <c r="C46" s="24">
        <f t="shared" ca="1" si="0"/>
        <v>0.02</v>
      </c>
      <c r="D46" s="24">
        <f t="shared" ca="1" si="1"/>
        <v>4.531936558452293E-2</v>
      </c>
      <c r="E46" s="24">
        <f t="shared" ca="1" si="2"/>
        <v>4.4989381923849076E-2</v>
      </c>
      <c r="F46" s="25">
        <f ca="1">'Single Simulation'!$AP$4*Results!C46</f>
        <v>37921.921180225181</v>
      </c>
      <c r="G46" s="25">
        <f ca="1">'Single Simulation'!$AP$5*Results!D46</f>
        <v>42865.266983276822</v>
      </c>
      <c r="H46" s="25">
        <f t="shared" ca="1" si="3"/>
        <v>-4943.3458030516413</v>
      </c>
      <c r="I46" s="25">
        <f t="shared" ca="1" si="4"/>
        <v>-222.39807231514669</v>
      </c>
      <c r="J46" s="25">
        <f ca="1">'Single Simulation'!$AP$7*Results!E46</f>
        <v>628593.17749520787</v>
      </c>
      <c r="K46" s="28" t="str">
        <f t="shared" ca="1" si="5"/>
        <v>No</v>
      </c>
    </row>
    <row r="47" spans="2:11" ht="11.25">
      <c r="B47" s="27">
        <v>45</v>
      </c>
      <c r="C47" s="24">
        <f t="shared" ca="1" si="0"/>
        <v>5.8370635704699907E-2</v>
      </c>
      <c r="D47" s="24">
        <f t="shared" ca="1" si="1"/>
        <v>5.6366617713461589E-2</v>
      </c>
      <c r="E47" s="24">
        <f t="shared" ca="1" si="2"/>
        <v>3.6152961378571734E-2</v>
      </c>
      <c r="F47" s="25">
        <f ca="1">'Single Simulation'!$AP$4*Results!C47</f>
        <v>110676.33232166337</v>
      </c>
      <c r="G47" s="25">
        <f ca="1">'Single Simulation'!$AP$5*Results!D47</f>
        <v>53314.297013393778</v>
      </c>
      <c r="H47" s="25">
        <f t="shared" ca="1" si="3"/>
        <v>57362.035308269595</v>
      </c>
      <c r="I47" s="25">
        <f t="shared" ca="1" si="4"/>
        <v>2073.8074470961387</v>
      </c>
      <c r="J47" s="25">
        <f ca="1">'Single Simulation'!$AP$7*Results!E47</f>
        <v>505130.40848803136</v>
      </c>
      <c r="K47" s="28" t="str">
        <f t="shared" ca="1" si="5"/>
        <v>No</v>
      </c>
    </row>
    <row r="48" spans="2:11" ht="11.25">
      <c r="B48" s="27">
        <v>46</v>
      </c>
      <c r="C48" s="24">
        <f t="shared" ca="1" si="0"/>
        <v>8.2969947347008743E-2</v>
      </c>
      <c r="D48" s="24">
        <f t="shared" ca="1" si="1"/>
        <v>4.2523701819064438E-2</v>
      </c>
      <c r="E48" s="24">
        <f t="shared" ca="1" si="2"/>
        <v>7.3864658055305482E-2</v>
      </c>
      <c r="F48" s="25">
        <f ca="1">'Single Simulation'!$AP$4*Results!C48</f>
        <v>157318.99018103493</v>
      </c>
      <c r="G48" s="25">
        <f ca="1">'Single Simulation'!$AP$5*Results!D48</f>
        <v>40220.991800775657</v>
      </c>
      <c r="H48" s="25">
        <f t="shared" ca="1" si="3"/>
        <v>117097.99838025926</v>
      </c>
      <c r="I48" s="25">
        <f t="shared" ca="1" si="4"/>
        <v>8649.4036093185659</v>
      </c>
      <c r="J48" s="25">
        <f ca="1">'Single Simulation'!$AP$7*Results!E48</f>
        <v>1032039.5196842721</v>
      </c>
      <c r="K48" s="28" t="str">
        <f t="shared" ca="1" si="5"/>
        <v>No</v>
      </c>
    </row>
    <row r="49" spans="2:11" ht="11.25">
      <c r="B49" s="27">
        <v>47</v>
      </c>
      <c r="C49" s="24">
        <f t="shared" ca="1" si="0"/>
        <v>7.3606161429061207E-2</v>
      </c>
      <c r="D49" s="24">
        <f t="shared" ca="1" si="1"/>
        <v>4.0953524447707362E-2</v>
      </c>
      <c r="E49" s="24">
        <f t="shared" ca="1" si="2"/>
        <v>4.8715002949848901E-2</v>
      </c>
      <c r="F49" s="25">
        <f ca="1">'Single Simulation'!$AP$4*Results!C49</f>
        <v>139564.35260458948</v>
      </c>
      <c r="G49" s="25">
        <f ca="1">'Single Simulation'!$AP$5*Results!D49</f>
        <v>38735.841438094794</v>
      </c>
      <c r="H49" s="25">
        <f t="shared" ca="1" si="3"/>
        <v>100828.51116649469</v>
      </c>
      <c r="I49" s="25">
        <f t="shared" ca="1" si="4"/>
        <v>4911.8612189046617</v>
      </c>
      <c r="J49" s="25">
        <f ca="1">'Single Simulation'!$AP$7*Results!E49</f>
        <v>680647.68144105421</v>
      </c>
      <c r="K49" s="28" t="str">
        <f t="shared" ca="1" si="5"/>
        <v>No</v>
      </c>
    </row>
    <row r="50" spans="2:11" ht="11.25">
      <c r="B50" s="27">
        <v>48</v>
      </c>
      <c r="C50" s="24">
        <f t="shared" ca="1" si="0"/>
        <v>6.2319782083832126E-2</v>
      </c>
      <c r="D50" s="24">
        <f t="shared" ca="1" si="1"/>
        <v>3.4506655043270253E-2</v>
      </c>
      <c r="E50" s="24">
        <f t="shared" ca="1" si="2"/>
        <v>0.14238329014969442</v>
      </c>
      <c r="F50" s="25">
        <f ca="1">'Single Simulation'!$AP$4*Results!C50</f>
        <v>118164.29320759456</v>
      </c>
      <c r="G50" s="25">
        <f ca="1">'Single Simulation'!$AP$5*Results!D50</f>
        <v>32638.077829464513</v>
      </c>
      <c r="H50" s="25">
        <f t="shared" ca="1" si="3"/>
        <v>85526.215378130044</v>
      </c>
      <c r="I50" s="25">
        <f t="shared" ca="1" si="4"/>
        <v>12177.503939589547</v>
      </c>
      <c r="J50" s="25">
        <f ca="1">'Single Simulation'!$AP$7*Results!E50</f>
        <v>1989384.1824480272</v>
      </c>
      <c r="K50" s="28" t="str">
        <f t="shared" ca="1" si="5"/>
        <v>No</v>
      </c>
    </row>
    <row r="51" spans="2:11" ht="11.25">
      <c r="B51" s="27">
        <v>49</v>
      </c>
      <c r="C51" s="24">
        <f t="shared" ca="1" si="0"/>
        <v>8.888825508024864E-2</v>
      </c>
      <c r="D51" s="24">
        <f t="shared" ca="1" si="1"/>
        <v>0.02</v>
      </c>
      <c r="E51" s="24">
        <f t="shared" ca="1" si="2"/>
        <v>4.8568615565086071E-2</v>
      </c>
      <c r="F51" s="25">
        <f ca="1">'Single Simulation'!$AP$4*Results!C51</f>
        <v>168540.67015004696</v>
      </c>
      <c r="G51" s="25">
        <f ca="1">'Single Simulation'!$AP$5*Results!D51</f>
        <v>18916.975747743385</v>
      </c>
      <c r="H51" s="25">
        <f t="shared" ca="1" si="3"/>
        <v>149623.69440230358</v>
      </c>
      <c r="I51" s="25">
        <f t="shared" ca="1" si="4"/>
        <v>7267.0156928534034</v>
      </c>
      <c r="J51" s="25">
        <f ca="1">'Single Simulation'!$AP$7*Results!E51</f>
        <v>678602.35191221035</v>
      </c>
      <c r="K51" s="28" t="str">
        <f t="shared" ca="1" si="5"/>
        <v>No</v>
      </c>
    </row>
    <row r="52" spans="2:11" ht="11.25">
      <c r="B52" s="27">
        <v>50</v>
      </c>
      <c r="C52" s="24">
        <f t="shared" ca="1" si="0"/>
        <v>8.8662885532954566E-2</v>
      </c>
      <c r="D52" s="24">
        <f t="shared" ca="1" si="1"/>
        <v>4.7709448829740951E-2</v>
      </c>
      <c r="E52" s="24">
        <f t="shared" ca="1" si="2"/>
        <v>0.16879796707909658</v>
      </c>
      <c r="F52" s="25">
        <f ca="1">'Single Simulation'!$AP$4*Results!C52</f>
        <v>168113.34783960151</v>
      </c>
      <c r="G52" s="25">
        <f ca="1">'Single Simulation'!$AP$5*Results!D52</f>
        <v>45125.924322520674</v>
      </c>
      <c r="H52" s="25">
        <f t="shared" ca="1" si="3"/>
        <v>122987.42351708084</v>
      </c>
      <c r="I52" s="25">
        <f t="shared" ca="1" si="4"/>
        <v>20760.02706597912</v>
      </c>
      <c r="J52" s="25">
        <f ca="1">'Single Simulation'!$AP$7*Results!E52</f>
        <v>2358450.9487278364</v>
      </c>
      <c r="K52" s="28" t="str">
        <f t="shared" ca="1" si="5"/>
        <v>No</v>
      </c>
    </row>
    <row r="53" spans="2:11" ht="11.25">
      <c r="B53" s="27">
        <v>51</v>
      </c>
      <c r="C53" s="24">
        <f t="shared" ca="1" si="0"/>
        <v>4.208412312733821E-2</v>
      </c>
      <c r="D53" s="24">
        <f t="shared" ca="1" si="1"/>
        <v>3.8975837684608237E-2</v>
      </c>
      <c r="E53" s="24">
        <f t="shared" ca="1" si="2"/>
        <v>3.7337345310845399E-2</v>
      </c>
      <c r="F53" s="25">
        <f ca="1">'Single Simulation'!$AP$4*Results!C53</f>
        <v>79795.540008690557</v>
      </c>
      <c r="G53" s="25">
        <f ca="1">'Single Simulation'!$AP$5*Results!D53</f>
        <v>36865.248811385834</v>
      </c>
      <c r="H53" s="25">
        <f t="shared" ca="1" si="3"/>
        <v>42930.291197304723</v>
      </c>
      <c r="I53" s="25">
        <f t="shared" ca="1" si="4"/>
        <v>1602.9031067289129</v>
      </c>
      <c r="J53" s="25">
        <f ca="1">'Single Simulation'!$AP$7*Results!E53</f>
        <v>521678.66115401237</v>
      </c>
      <c r="K53" s="28" t="str">
        <f t="shared" ca="1" si="5"/>
        <v>No</v>
      </c>
    </row>
    <row r="54" spans="2:11" ht="11.25">
      <c r="B54" s="27">
        <v>52</v>
      </c>
      <c r="C54" s="24">
        <f t="shared" ca="1" si="0"/>
        <v>2.5637459048943059E-2</v>
      </c>
      <c r="D54" s="24">
        <f t="shared" ca="1" si="1"/>
        <v>6.3903255103878606E-2</v>
      </c>
      <c r="E54" s="24">
        <f t="shared" ca="1" si="2"/>
        <v>8.6268662040828295E-2</v>
      </c>
      <c r="F54" s="25">
        <f ca="1">'Single Simulation'!$AP$4*Results!C54</f>
        <v>48611.085065763473</v>
      </c>
      <c r="G54" s="25">
        <f ca="1">'Single Simulation'!$AP$5*Results!D54</f>
        <v>60442.816350096509</v>
      </c>
      <c r="H54" s="25">
        <f t="shared" ca="1" si="3"/>
        <v>-11831.731284333036</v>
      </c>
      <c r="I54" s="25">
        <f t="shared" ca="1" si="4"/>
        <v>-1020.7076275260221</v>
      </c>
      <c r="J54" s="25">
        <f ca="1">'Single Simulation'!$AP$7*Results!E54</f>
        <v>1205348.6861031542</v>
      </c>
      <c r="K54" s="28" t="str">
        <f t="shared" ca="1" si="5"/>
        <v>No</v>
      </c>
    </row>
    <row r="55" spans="2:11" ht="11.25">
      <c r="B55" s="27">
        <v>53</v>
      </c>
      <c r="C55" s="24">
        <f t="shared" ca="1" si="0"/>
        <v>5.5915588178813744E-2</v>
      </c>
      <c r="D55" s="24">
        <f t="shared" ca="1" si="1"/>
        <v>4.2465469866001276E-2</v>
      </c>
      <c r="E55" s="24">
        <f t="shared" ca="1" si="2"/>
        <v>9.0497653795898719E-2</v>
      </c>
      <c r="F55" s="25">
        <f ca="1">'Single Simulation'!$AP$4*Results!C55</f>
        <v>106021.32638314528</v>
      </c>
      <c r="G55" s="25">
        <f ca="1">'Single Simulation'!$AP$5*Results!D55</f>
        <v>40165.91317858368</v>
      </c>
      <c r="H55" s="25">
        <f t="shared" ca="1" si="3"/>
        <v>65855.413204561599</v>
      </c>
      <c r="I55" s="25">
        <f t="shared" ca="1" si="4"/>
        <v>5959.760384772273</v>
      </c>
      <c r="J55" s="25">
        <f ca="1">'Single Simulation'!$AP$7*Results!E55</f>
        <v>1264436.3030306404</v>
      </c>
      <c r="K55" s="28" t="str">
        <f t="shared" ca="1" si="5"/>
        <v>No</v>
      </c>
    </row>
    <row r="56" spans="2:11" ht="11.25">
      <c r="B56" s="27">
        <v>54</v>
      </c>
      <c r="C56" s="24">
        <f t="shared" ca="1" si="0"/>
        <v>6.2812700532157331E-2</v>
      </c>
      <c r="D56" s="24">
        <f t="shared" ca="1" si="1"/>
        <v>4.3980578295702746E-2</v>
      </c>
      <c r="E56" s="24">
        <f t="shared" ca="1" si="2"/>
        <v>6.9893199395375458E-2</v>
      </c>
      <c r="F56" s="25">
        <f ca="1">'Single Simulation'!$AP$4*Results!C56</f>
        <v>119098.91393487791</v>
      </c>
      <c r="G56" s="25">
        <f ca="1">'Single Simulation'!$AP$5*Results!D56</f>
        <v>41598.976649576893</v>
      </c>
      <c r="H56" s="25">
        <f t="shared" ca="1" si="3"/>
        <v>77499.937285301014</v>
      </c>
      <c r="I56" s="25">
        <f t="shared" ca="1" si="4"/>
        <v>5416.7185698106368</v>
      </c>
      <c r="J56" s="25">
        <f ca="1">'Single Simulation'!$AP$7*Results!E56</f>
        <v>976550.16393891338</v>
      </c>
      <c r="K56" s="28" t="str">
        <f t="shared" ca="1" si="5"/>
        <v>No</v>
      </c>
    </row>
    <row r="57" spans="2:11" ht="11.25">
      <c r="B57" s="27">
        <v>55</v>
      </c>
      <c r="C57" s="24">
        <f t="shared" ca="1" si="0"/>
        <v>6.6128961984184165E-2</v>
      </c>
      <c r="D57" s="24">
        <f t="shared" ca="1" si="1"/>
        <v>7.3046314391541758E-2</v>
      </c>
      <c r="E57" s="24">
        <f t="shared" ca="1" si="2"/>
        <v>0.10259485414654723</v>
      </c>
      <c r="F57" s="25">
        <f ca="1">'Single Simulation'!$AP$4*Results!C57</f>
        <v>125386.86420471696</v>
      </c>
      <c r="G57" s="25">
        <f ca="1">'Single Simulation'!$AP$5*Results!D57</f>
        <v>69090.767890341696</v>
      </c>
      <c r="H57" s="25">
        <f t="shared" ca="1" si="3"/>
        <v>56296.09631437526</v>
      </c>
      <c r="I57" s="25">
        <f t="shared" ca="1" si="4"/>
        <v>5775.689790393305</v>
      </c>
      <c r="J57" s="25">
        <f ca="1">'Single Simulation'!$AP$7*Results!E57</f>
        <v>1433458.7986070744</v>
      </c>
      <c r="K57" s="28" t="str">
        <f t="shared" ca="1" si="5"/>
        <v>No</v>
      </c>
    </row>
    <row r="58" spans="2:11" ht="11.25">
      <c r="B58" s="27">
        <v>56</v>
      </c>
      <c r="C58" s="24">
        <f t="shared" ca="1" si="0"/>
        <v>9.9734399203510404E-2</v>
      </c>
      <c r="D58" s="24">
        <f t="shared" ca="1" si="1"/>
        <v>4.8467070916024091E-2</v>
      </c>
      <c r="E58" s="24">
        <f t="shared" ca="1" si="2"/>
        <v>5.603464031067748E-2</v>
      </c>
      <c r="F58" s="25">
        <f ca="1">'Single Simulation'!$AP$4*Results!C58</f>
        <v>189106.0012776317</v>
      </c>
      <c r="G58" s="25">
        <f ca="1">'Single Simulation'!$AP$5*Results!D58</f>
        <v>45842.520254129326</v>
      </c>
      <c r="H58" s="25">
        <f t="shared" ca="1" si="3"/>
        <v>143263.48102350236</v>
      </c>
      <c r="I58" s="25">
        <f t="shared" ca="1" si="4"/>
        <v>8027.7176288075234</v>
      </c>
      <c r="J58" s="25">
        <f ca="1">'Single Simulation'!$AP$7*Results!E58</f>
        <v>782917.90410256677</v>
      </c>
      <c r="K58" s="28" t="str">
        <f t="shared" ca="1" si="5"/>
        <v>No</v>
      </c>
    </row>
    <row r="59" spans="2:11" ht="11.25">
      <c r="B59" s="27">
        <v>57</v>
      </c>
      <c r="C59" s="24">
        <f t="shared" ca="1" si="0"/>
        <v>4.0554898964393134E-2</v>
      </c>
      <c r="D59" s="24">
        <f t="shared" ca="1" si="1"/>
        <v>5.2262753788454755E-2</v>
      </c>
      <c r="E59" s="24">
        <f t="shared" ca="1" si="2"/>
        <v>8.1425723690708857E-2</v>
      </c>
      <c r="F59" s="25">
        <f ca="1">'Single Simulation'!$AP$4*Results!C59</f>
        <v>76895.98409998561</v>
      </c>
      <c r="G59" s="25">
        <f ca="1">'Single Simulation'!$AP$5*Results!D59</f>
        <v>49432.66229632411</v>
      </c>
      <c r="H59" s="25">
        <f t="shared" ca="1" si="3"/>
        <v>27463.3218036615</v>
      </c>
      <c r="I59" s="25">
        <f t="shared" ca="1" si="4"/>
        <v>2236.2208528139613</v>
      </c>
      <c r="J59" s="25">
        <f ca="1">'Single Simulation'!$AP$7*Results!E59</f>
        <v>1137682.9864261108</v>
      </c>
      <c r="K59" s="28" t="str">
        <f t="shared" ca="1" si="5"/>
        <v>No</v>
      </c>
    </row>
    <row r="60" spans="2:11" ht="11.25">
      <c r="B60" s="27">
        <v>58</v>
      </c>
      <c r="C60" s="24">
        <f t="shared" ca="1" si="0"/>
        <v>7.3926025255982103E-2</v>
      </c>
      <c r="D60" s="24">
        <f t="shared" ca="1" si="1"/>
        <v>4.4881806520277581E-2</v>
      </c>
      <c r="E60" s="24">
        <f t="shared" ca="1" si="2"/>
        <v>0.11914695896583019</v>
      </c>
      <c r="F60" s="25">
        <f ca="1">'Single Simulation'!$AP$4*Results!C60</f>
        <v>140170.84514623447</v>
      </c>
      <c r="G60" s="25">
        <f ca="1">'Single Simulation'!$AP$5*Results!D60</f>
        <v>42451.402272950094</v>
      </c>
      <c r="H60" s="25">
        <f t="shared" ca="1" si="3"/>
        <v>97719.442873284366</v>
      </c>
      <c r="I60" s="25">
        <f t="shared" ca="1" si="4"/>
        <v>11642.974450186999</v>
      </c>
      <c r="J60" s="25">
        <f ca="1">'Single Simulation'!$AP$7*Results!E60</f>
        <v>1664725.371244102</v>
      </c>
      <c r="K60" s="28" t="str">
        <f t="shared" ca="1" si="5"/>
        <v>No</v>
      </c>
    </row>
    <row r="61" spans="2:11" ht="11.25">
      <c r="B61" s="27">
        <v>59</v>
      </c>
      <c r="C61" s="24">
        <f t="shared" ca="1" si="0"/>
        <v>6.7313381249915455E-2</v>
      </c>
      <c r="D61" s="24">
        <f t="shared" ca="1" si="1"/>
        <v>5.8389138100749749E-2</v>
      </c>
      <c r="E61" s="24">
        <f t="shared" ca="1" si="2"/>
        <v>1.9072924207294818E-2</v>
      </c>
      <c r="F61" s="25">
        <f ca="1">'Single Simulation'!$AP$4*Results!C61</f>
        <v>127632.63690668707</v>
      </c>
      <c r="G61" s="25">
        <f ca="1">'Single Simulation'!$AP$5*Results!D61</f>
        <v>55227.295469176112</v>
      </c>
      <c r="H61" s="25">
        <f t="shared" ca="1" si="3"/>
        <v>72405.341437510957</v>
      </c>
      <c r="I61" s="25">
        <f t="shared" ca="1" si="4"/>
        <v>1380.9815894409494</v>
      </c>
      <c r="J61" s="25">
        <f ca="1">'Single Simulation'!$AP$7*Results!E61</f>
        <v>266487.54703680956</v>
      </c>
      <c r="K61" s="28" t="str">
        <f t="shared" ca="1" si="5"/>
        <v>No</v>
      </c>
    </row>
    <row r="62" spans="2:11" ht="11.25">
      <c r="B62" s="27">
        <v>60</v>
      </c>
      <c r="C62" s="24">
        <f t="shared" ca="1" si="0"/>
        <v>7.4624445976051806E-2</v>
      </c>
      <c r="D62" s="24">
        <f t="shared" ca="1" si="1"/>
        <v>7.6713663705276297E-2</v>
      </c>
      <c r="E62" s="24">
        <f t="shared" ca="1" si="2"/>
        <v>9.4560950232941685E-2</v>
      </c>
      <c r="F62" s="25">
        <f ca="1">'Single Simulation'!$AP$4*Results!C62</f>
        <v>141495.11792109042</v>
      </c>
      <c r="G62" s="25">
        <f ca="1">'Single Simulation'!$AP$5*Results!D62</f>
        <v>72559.525791662672</v>
      </c>
      <c r="H62" s="25">
        <f t="shared" ca="1" si="3"/>
        <v>68935.59212942775</v>
      </c>
      <c r="I62" s="25">
        <f t="shared" ca="1" si="4"/>
        <v>6518.6150966291843</v>
      </c>
      <c r="J62" s="25">
        <f ca="1">'Single Simulation'!$AP$7*Results!E62</f>
        <v>1321208.8193276874</v>
      </c>
      <c r="K62" s="28" t="str">
        <f t="shared" ca="1" si="5"/>
        <v>No</v>
      </c>
    </row>
    <row r="63" spans="2:11" ht="11.25">
      <c r="B63" s="27">
        <v>61</v>
      </c>
      <c r="C63" s="24">
        <f t="shared" ca="1" si="0"/>
        <v>4.9605020473743891E-2</v>
      </c>
      <c r="D63" s="24">
        <f t="shared" ca="1" si="1"/>
        <v>5.8409408416513584E-2</v>
      </c>
      <c r="E63" s="24">
        <f t="shared" ca="1" si="2"/>
        <v>7.1082096483038287E-2</v>
      </c>
      <c r="F63" s="25">
        <f ca="1">'Single Simulation'!$AP$4*Results!C63</f>
        <v>94055.883827438607</v>
      </c>
      <c r="G63" s="25">
        <f ca="1">'Single Simulation'!$AP$5*Results!D63</f>
        <v>55246.468122761289</v>
      </c>
      <c r="H63" s="25">
        <f t="shared" ca="1" si="3"/>
        <v>38809.415704677318</v>
      </c>
      <c r="I63" s="25">
        <f t="shared" ca="1" si="4"/>
        <v>2758.6546315702144</v>
      </c>
      <c r="J63" s="25">
        <f ca="1">'Single Simulation'!$AP$7*Results!E63</f>
        <v>993161.47456580179</v>
      </c>
      <c r="K63" s="28" t="str">
        <f t="shared" ca="1" si="5"/>
        <v>No</v>
      </c>
    </row>
    <row r="64" spans="2:11" ht="11.25">
      <c r="B64" s="27">
        <v>62</v>
      </c>
      <c r="C64" s="24">
        <f t="shared" ca="1" si="0"/>
        <v>3.4767859807605786E-2</v>
      </c>
      <c r="D64" s="24">
        <f t="shared" ca="1" si="1"/>
        <v>4.1539042412271104E-2</v>
      </c>
      <c r="E64" s="24">
        <f t="shared" ca="1" si="2"/>
        <v>0.1080624136452743</v>
      </c>
      <c r="F64" s="25">
        <f ca="1">'Single Simulation'!$AP$4*Results!C64</f>
        <v>65923.201961457278</v>
      </c>
      <c r="G64" s="25">
        <f ca="1">'Single Simulation'!$AP$5*Results!D64</f>
        <v>39289.652894870815</v>
      </c>
      <c r="H64" s="25">
        <f t="shared" ca="1" si="3"/>
        <v>26633.549066586464</v>
      </c>
      <c r="I64" s="25">
        <f t="shared" ca="1" si="4"/>
        <v>2878.0855960751755</v>
      </c>
      <c r="J64" s="25">
        <f ca="1">'Single Simulation'!$AP$7*Results!E64</f>
        <v>1509851.7262597892</v>
      </c>
      <c r="K64" s="28" t="str">
        <f t="shared" ca="1" si="5"/>
        <v>No</v>
      </c>
    </row>
    <row r="65" spans="2:11" ht="11.25">
      <c r="B65" s="27">
        <v>63</v>
      </c>
      <c r="C65" s="24">
        <f t="shared" ca="1" si="0"/>
        <v>3.938330738850794E-2</v>
      </c>
      <c r="D65" s="24">
        <f t="shared" ca="1" si="1"/>
        <v>5.5254411695579993E-2</v>
      </c>
      <c r="E65" s="24">
        <f t="shared" ca="1" si="2"/>
        <v>7.5307286138926482E-2</v>
      </c>
      <c r="F65" s="25">
        <f ca="1">'Single Simulation'!$AP$4*Results!C65</f>
        <v>74674.533930178906</v>
      </c>
      <c r="G65" s="25">
        <f ca="1">'Single Simulation'!$AP$5*Results!D65</f>
        <v>52262.318300055755</v>
      </c>
      <c r="H65" s="25">
        <f t="shared" ca="1" si="3"/>
        <v>22412.215630123152</v>
      </c>
      <c r="I65" s="25">
        <f t="shared" ca="1" si="4"/>
        <v>1687.8031354650047</v>
      </c>
      <c r="J65" s="25">
        <f ca="1">'Single Simulation'!$AP$7*Results!E65</f>
        <v>1052195.9684339366</v>
      </c>
      <c r="K65" s="28" t="str">
        <f t="shared" ca="1" si="5"/>
        <v>No</v>
      </c>
    </row>
    <row r="66" spans="2:11" ht="11.25">
      <c r="B66" s="27">
        <v>64</v>
      </c>
      <c r="C66" s="24">
        <f t="shared" ca="1" si="0"/>
        <v>6.3262775748906888E-2</v>
      </c>
      <c r="D66" s="24">
        <f t="shared" ca="1" si="1"/>
        <v>6.6185763506712847E-2</v>
      </c>
      <c r="E66" s="24">
        <f t="shared" ca="1" si="2"/>
        <v>4.0024435010610836E-2</v>
      </c>
      <c r="F66" s="25">
        <f ca="1">'Single Simulation'!$AP$4*Results!C66</f>
        <v>119952.29977961539</v>
      </c>
      <c r="G66" s="25">
        <f ca="1">'Single Simulation'!$AP$5*Results!D66</f>
        <v>62601.724155118303</v>
      </c>
      <c r="H66" s="25">
        <f t="shared" ca="1" si="3"/>
        <v>57350.575624497091</v>
      </c>
      <c r="I66" s="25">
        <f t="shared" ca="1" si="4"/>
        <v>2295.424386903806</v>
      </c>
      <c r="J66" s="25">
        <f ca="1">'Single Simulation'!$AP$7*Results!E66</f>
        <v>559222.77001617046</v>
      </c>
      <c r="K66" s="28" t="str">
        <f t="shared" ca="1" si="5"/>
        <v>No</v>
      </c>
    </row>
    <row r="67" spans="2:11" ht="11.25">
      <c r="B67" s="27">
        <v>65</v>
      </c>
      <c r="C67" s="24">
        <f t="shared" ca="1" si="0"/>
        <v>5.8696663170245737E-2</v>
      </c>
      <c r="D67" s="24">
        <f t="shared" ca="1" si="1"/>
        <v>5.2356312806072412E-2</v>
      </c>
      <c r="E67" s="24">
        <f t="shared" ca="1" si="2"/>
        <v>0.10731360594335956</v>
      </c>
      <c r="F67" s="25">
        <f ca="1">'Single Simulation'!$AP$4*Results!C67</f>
        <v>111294.51171421424</v>
      </c>
      <c r="G67" s="25">
        <f ca="1">'Single Simulation'!$AP$5*Results!D67</f>
        <v>49521.154979686908</v>
      </c>
      <c r="H67" s="25">
        <f t="shared" ca="1" si="3"/>
        <v>61773.356734527333</v>
      </c>
      <c r="I67" s="25">
        <f t="shared" ca="1" si="4"/>
        <v>6629.1216624076433</v>
      </c>
      <c r="J67" s="25">
        <f ca="1">'Single Simulation'!$AP$7*Results!E67</f>
        <v>1499389.3595289863</v>
      </c>
      <c r="K67" s="28" t="str">
        <f t="shared" ca="1" si="5"/>
        <v>No</v>
      </c>
    </row>
    <row r="68" spans="2:11" ht="11.25">
      <c r="B68" s="27">
        <v>66</v>
      </c>
      <c r="C68" s="24">
        <f t="shared" ref="C68:C131" ca="1" si="6">MAX(0.02,MIN(0.12,_xlfn.NORM.INV(RAND(),0.06,0.02)))</f>
        <v>6.1786203709166626E-2</v>
      </c>
      <c r="D68" s="24">
        <f t="shared" ref="D68:D131" ca="1" si="7">MAX(0.02,MIN(0.08,_xlfn.NORM.INV(RAND(),0.05,0.015)))</f>
        <v>5.725556877527789E-2</v>
      </c>
      <c r="E68" s="24">
        <f t="shared" ref="E68:E131" ca="1" si="8">MAX(-0.1,MIN(0.25,_xlfn.NORM.INV(RAND(),0.07,0.04)))</f>
        <v>8.2891024122497742E-2</v>
      </c>
      <c r="F68" s="25">
        <f ca="1">'Single Simulation'!$AP$4*Results!C68</f>
        <v>117152.57735421766</v>
      </c>
      <c r="G68" s="25">
        <f ca="1">'Single Simulation'!$AP$5*Results!D68</f>
        <v>54155.110297259263</v>
      </c>
      <c r="H68" s="25">
        <f t="shared" ref="H68:H102" ca="1" si="9">F68-G68</f>
        <v>62997.467056958398</v>
      </c>
      <c r="I68" s="25">
        <f t="shared" ref="I68:I102" ca="1" si="10">H68*E68</f>
        <v>5221.9245614745951</v>
      </c>
      <c r="J68" s="25">
        <f ca="1">'Single Simulation'!$AP$7*Results!E68</f>
        <v>1158156.2139970593</v>
      </c>
      <c r="K68" s="28" t="str">
        <f t="shared" ref="K68:K131" ca="1" si="11">IF(J68&gt;$N$4,"Yes","No")</f>
        <v>No</v>
      </c>
    </row>
    <row r="69" spans="2:11" ht="11.25">
      <c r="B69" s="27">
        <v>67</v>
      </c>
      <c r="C69" s="24">
        <f t="shared" ca="1" si="6"/>
        <v>3.5909648363089602E-2</v>
      </c>
      <c r="D69" s="24">
        <f t="shared" ca="1" si="7"/>
        <v>4.8778644700514649E-2</v>
      </c>
      <c r="E69" s="24">
        <f t="shared" ca="1" si="8"/>
        <v>3.5325830477653967E-2</v>
      </c>
      <c r="F69" s="25">
        <f ca="1">'Single Simulation'!$AP$4*Results!C69</f>
        <v>68088.142741734293</v>
      </c>
      <c r="G69" s="25">
        <f ca="1">'Single Simulation'!$AP$5*Results!D69</f>
        <v>46137.221940371346</v>
      </c>
      <c r="H69" s="25">
        <f t="shared" ca="1" si="9"/>
        <v>21950.920801362947</v>
      </c>
      <c r="I69" s="25">
        <f t="shared" ca="1" si="10"/>
        <v>775.43450705735563</v>
      </c>
      <c r="J69" s="25">
        <f ca="1">'Single Simulation'!$AP$7*Results!E69</f>
        <v>493573.70735147374</v>
      </c>
      <c r="K69" s="28" t="str">
        <f t="shared" ca="1" si="11"/>
        <v>No</v>
      </c>
    </row>
    <row r="70" spans="2:11" ht="11.25">
      <c r="B70" s="27">
        <v>68</v>
      </c>
      <c r="C70" s="24">
        <f t="shared" ca="1" si="6"/>
        <v>0.02</v>
      </c>
      <c r="D70" s="24">
        <f t="shared" ca="1" si="7"/>
        <v>0.08</v>
      </c>
      <c r="E70" s="24">
        <f t="shared" ca="1" si="8"/>
        <v>2.4690674406028984E-2</v>
      </c>
      <c r="F70" s="25">
        <f ca="1">'Single Simulation'!$AP$4*Results!C70</f>
        <v>37921.921180225181</v>
      </c>
      <c r="G70" s="25">
        <f ca="1">'Single Simulation'!$AP$5*Results!D70</f>
        <v>75667.90299097354</v>
      </c>
      <c r="H70" s="25">
        <f t="shared" ca="1" si="9"/>
        <v>-37745.981810748359</v>
      </c>
      <c r="I70" s="25">
        <f t="shared" ca="1" si="10"/>
        <v>-931.97374702508012</v>
      </c>
      <c r="J70" s="25">
        <f ca="1">'Single Simulation'!$AP$7*Results!E70</f>
        <v>344978.94426857942</v>
      </c>
      <c r="K70" s="28" t="str">
        <f t="shared" ca="1" si="11"/>
        <v>No</v>
      </c>
    </row>
    <row r="71" spans="2:11" ht="11.25">
      <c r="B71" s="27">
        <v>69</v>
      </c>
      <c r="C71" s="24">
        <f t="shared" ca="1" si="6"/>
        <v>4.629411824889354E-2</v>
      </c>
      <c r="D71" s="24">
        <f t="shared" ca="1" si="7"/>
        <v>5.0650896980996007E-2</v>
      </c>
      <c r="E71" s="24">
        <f t="shared" ca="1" si="8"/>
        <v>3.8383445418299703E-2</v>
      </c>
      <c r="F71" s="25">
        <f ca="1">'Single Simulation'!$AP$4*Results!C71</f>
        <v>87778.095167128238</v>
      </c>
      <c r="G71" s="25">
        <f ca="1">'Single Simulation'!$AP$5*Results!D71</f>
        <v>47908.089489547499</v>
      </c>
      <c r="H71" s="25">
        <f t="shared" ca="1" si="9"/>
        <v>39870.005677580739</v>
      </c>
      <c r="I71" s="25">
        <f t="shared" ca="1" si="10"/>
        <v>1530.3481867527196</v>
      </c>
      <c r="J71" s="25">
        <f ca="1">'Single Simulation'!$AP$7*Results!E71</f>
        <v>536294.80750685208</v>
      </c>
      <c r="K71" s="28" t="str">
        <f t="shared" ca="1" si="11"/>
        <v>No</v>
      </c>
    </row>
    <row r="72" spans="2:11" ht="11.25">
      <c r="B72" s="27">
        <v>70</v>
      </c>
      <c r="C72" s="24">
        <f t="shared" ca="1" si="6"/>
        <v>4.4402825873385593E-2</v>
      </c>
      <c r="D72" s="24">
        <f t="shared" ca="1" si="7"/>
        <v>6.0506711175511041E-2</v>
      </c>
      <c r="E72" s="24">
        <f t="shared" ca="1" si="8"/>
        <v>2.1744181109373845E-2</v>
      </c>
      <c r="F72" s="25">
        <f ca="1">'Single Simulation'!$AP$4*Results!C72</f>
        <v>84192.023147489585</v>
      </c>
      <c r="G72" s="25">
        <f ca="1">'Single Simulation'!$AP$5*Results!D72</f>
        <v>57230.199394142794</v>
      </c>
      <c r="H72" s="25">
        <f t="shared" ca="1" si="9"/>
        <v>26961.823753346791</v>
      </c>
      <c r="I72" s="25">
        <f t="shared" ca="1" si="10"/>
        <v>586.26277873179026</v>
      </c>
      <c r="J72" s="25">
        <f ca="1">'Single Simulation'!$AP$7*Results!E72</f>
        <v>303810.43951010541</v>
      </c>
      <c r="K72" s="28" t="str">
        <f t="shared" ca="1" si="11"/>
        <v>No</v>
      </c>
    </row>
    <row r="73" spans="2:11" ht="11.25">
      <c r="B73" s="27">
        <v>71</v>
      </c>
      <c r="C73" s="24">
        <f t="shared" ca="1" si="6"/>
        <v>5.2701960374598303E-2</v>
      </c>
      <c r="D73" s="24">
        <f t="shared" ca="1" si="7"/>
        <v>5.4683888965749564E-2</v>
      </c>
      <c r="E73" s="24">
        <f t="shared" ca="1" si="8"/>
        <v>1.0741425997384896E-2</v>
      </c>
      <c r="F73" s="25">
        <f ca="1">'Single Simulation'!$AP$4*Results!C73</f>
        <v>99927.979368443368</v>
      </c>
      <c r="G73" s="25">
        <f ca="1">'Single Simulation'!$AP$5*Results!D73</f>
        <v>51722.690067868825</v>
      </c>
      <c r="H73" s="25">
        <f t="shared" ca="1" si="9"/>
        <v>48205.289300574543</v>
      </c>
      <c r="I73" s="25">
        <f t="shared" ca="1" si="10"/>
        <v>517.79354770465136</v>
      </c>
      <c r="J73" s="25">
        <f ca="1">'Single Simulation'!$AP$7*Results!E73</f>
        <v>150079.57010733115</v>
      </c>
      <c r="K73" s="28" t="str">
        <f t="shared" ca="1" si="11"/>
        <v>No</v>
      </c>
    </row>
    <row r="74" spans="2:11" ht="11.25">
      <c r="B74" s="27">
        <v>72</v>
      </c>
      <c r="C74" s="24">
        <f t="shared" ca="1" si="6"/>
        <v>4.9760901509572117E-2</v>
      </c>
      <c r="D74" s="24">
        <f t="shared" ca="1" si="7"/>
        <v>5.4033566435547152E-2</v>
      </c>
      <c r="E74" s="24">
        <f t="shared" ca="1" si="8"/>
        <v>0.10274067095012913</v>
      </c>
      <c r="F74" s="25">
        <f ca="1">'Single Simulation'!$AP$4*Results!C74</f>
        <v>94351.449245147087</v>
      </c>
      <c r="G74" s="25">
        <f ca="1">'Single Simulation'!$AP$5*Results!D74</f>
        <v>51107.583291266317</v>
      </c>
      <c r="H74" s="25">
        <f t="shared" ca="1" si="9"/>
        <v>43243.86595388077</v>
      </c>
      <c r="I74" s="25">
        <f t="shared" ca="1" si="10"/>
        <v>4442.903802579156</v>
      </c>
      <c r="J74" s="25">
        <f ca="1">'Single Simulation'!$AP$7*Results!E74</f>
        <v>1435496.1559562127</v>
      </c>
      <c r="K74" s="28" t="str">
        <f t="shared" ca="1" si="11"/>
        <v>No</v>
      </c>
    </row>
    <row r="75" spans="2:11" ht="11.25">
      <c r="B75" s="27">
        <v>73</v>
      </c>
      <c r="C75" s="24">
        <f t="shared" ca="1" si="6"/>
        <v>5.342632411270487E-2</v>
      </c>
      <c r="D75" s="24">
        <f t="shared" ca="1" si="7"/>
        <v>7.4748437252172326E-2</v>
      </c>
      <c r="E75" s="24">
        <f t="shared" ca="1" si="8"/>
        <v>4.6193340432180346E-2</v>
      </c>
      <c r="F75" s="25">
        <f ca="1">'Single Simulation'!$AP$4*Results!C75</f>
        <v>101301.44259755789</v>
      </c>
      <c r="G75" s="25">
        <f ca="1">'Single Simulation'!$AP$5*Results!D75</f>
        <v>70700.718734053095</v>
      </c>
      <c r="H75" s="25">
        <f t="shared" ca="1" si="9"/>
        <v>30600.723863504798</v>
      </c>
      <c r="I75" s="25">
        <f t="shared" ca="1" si="10"/>
        <v>1413.5496548980223</v>
      </c>
      <c r="J75" s="25">
        <f ca="1">'Single Simulation'!$AP$7*Results!E75</f>
        <v>645414.92680497468</v>
      </c>
      <c r="K75" s="28" t="str">
        <f t="shared" ca="1" si="11"/>
        <v>No</v>
      </c>
    </row>
    <row r="76" spans="2:11" ht="11.25">
      <c r="B76" s="27">
        <v>74</v>
      </c>
      <c r="C76" s="24">
        <f t="shared" ca="1" si="6"/>
        <v>4.4394135566447189E-2</v>
      </c>
      <c r="D76" s="24">
        <f t="shared" ca="1" si="7"/>
        <v>2.6004449363682663E-2</v>
      </c>
      <c r="E76" s="24">
        <f t="shared" ca="1" si="8"/>
        <v>3.0848267432836564E-2</v>
      </c>
      <c r="F76" s="25">
        <f ca="1">'Single Simulation'!$AP$4*Results!C76</f>
        <v>84175.545490752076</v>
      </c>
      <c r="G76" s="25">
        <f ca="1">'Single Simulation'!$AP$5*Results!D76</f>
        <v>24596.27689731029</v>
      </c>
      <c r="H76" s="25">
        <f t="shared" ca="1" si="9"/>
        <v>59579.268593441782</v>
      </c>
      <c r="I76" s="25">
        <f t="shared" ca="1" si="10"/>
        <v>1837.9172110232923</v>
      </c>
      <c r="J76" s="25">
        <f ca="1">'Single Simulation'!$AP$7*Results!E76</f>
        <v>431013.04389223922</v>
      </c>
      <c r="K76" s="28" t="str">
        <f t="shared" ca="1" si="11"/>
        <v>No</v>
      </c>
    </row>
    <row r="77" spans="2:11" ht="11.25">
      <c r="B77" s="27">
        <v>75</v>
      </c>
      <c r="C77" s="24">
        <f t="shared" ca="1" si="6"/>
        <v>6.0484401216196082E-2</v>
      </c>
      <c r="D77" s="24">
        <f t="shared" ca="1" si="7"/>
        <v>6.1361291848766923E-2</v>
      </c>
      <c r="E77" s="24">
        <f t="shared" ca="1" si="8"/>
        <v>6.3254340399563722E-2</v>
      </c>
      <c r="F77" s="25">
        <f ca="1">'Single Simulation'!$AP$4*Results!C77</f>
        <v>114684.23477768518</v>
      </c>
      <c r="G77" s="25">
        <f ca="1">'Single Simulation'!$AP$5*Results!D77</f>
        <v>58038.503487666385</v>
      </c>
      <c r="H77" s="25">
        <f t="shared" ca="1" si="9"/>
        <v>56645.731290018797</v>
      </c>
      <c r="I77" s="25">
        <f t="shared" ca="1" si="10"/>
        <v>3583.0883692010666</v>
      </c>
      <c r="J77" s="25">
        <f ca="1">'Single Simulation'!$AP$7*Results!E77</f>
        <v>883791.79979460093</v>
      </c>
      <c r="K77" s="28" t="str">
        <f t="shared" ca="1" si="11"/>
        <v>No</v>
      </c>
    </row>
    <row r="78" spans="2:11" ht="11.25">
      <c r="B78" s="27">
        <v>76</v>
      </c>
      <c r="C78" s="24">
        <f t="shared" ca="1" si="6"/>
        <v>5.8124501630577113E-2</v>
      </c>
      <c r="D78" s="24">
        <f t="shared" ca="1" si="7"/>
        <v>6.6695564414286257E-2</v>
      </c>
      <c r="E78" s="24">
        <f t="shared" ca="1" si="8"/>
        <v>-3.7252104142773274E-3</v>
      </c>
      <c r="F78" s="25">
        <f ca="1">'Single Simulation'!$AP$4*Results!C78</f>
        <v>110209.63847373075</v>
      </c>
      <c r="G78" s="25">
        <f ca="1">'Single Simulation'!$AP$5*Results!D78</f>
        <v>63083.918725355492</v>
      </c>
      <c r="H78" s="25">
        <f t="shared" ca="1" si="9"/>
        <v>47125.719748375261</v>
      </c>
      <c r="I78" s="25">
        <f t="shared" ca="1" si="10"/>
        <v>-175.55322198696223</v>
      </c>
      <c r="J78" s="25">
        <f ca="1">'Single Simulation'!$AP$7*Results!E78</f>
        <v>-52048.766864865727</v>
      </c>
      <c r="K78" s="28" t="str">
        <f t="shared" ca="1" si="11"/>
        <v>No</v>
      </c>
    </row>
    <row r="79" spans="2:11" ht="11.25">
      <c r="B79" s="27">
        <v>77</v>
      </c>
      <c r="C79" s="24">
        <f t="shared" ca="1" si="6"/>
        <v>8.8893495434640729E-2</v>
      </c>
      <c r="D79" s="24">
        <f t="shared" ca="1" si="7"/>
        <v>6.0352726969757631E-2</v>
      </c>
      <c r="E79" s="24">
        <f t="shared" ca="1" si="8"/>
        <v>8.305799401865388E-2</v>
      </c>
      <c r="F79" s="25">
        <f ca="1">'Single Simulation'!$AP$4*Results!C79</f>
        <v>168550.60636535761</v>
      </c>
      <c r="G79" s="25">
        <f ca="1">'Single Simulation'!$AP$5*Results!D79</f>
        <v>57084.553619854159</v>
      </c>
      <c r="H79" s="25">
        <f t="shared" ca="1" si="9"/>
        <v>111466.05274550346</v>
      </c>
      <c r="I79" s="25">
        <f t="shared" ca="1" si="10"/>
        <v>9258.1467422189835</v>
      </c>
      <c r="J79" s="25">
        <f ca="1">'Single Simulation'!$AP$7*Results!E79</f>
        <v>1160489.1230765502</v>
      </c>
      <c r="K79" s="28" t="str">
        <f t="shared" ca="1" si="11"/>
        <v>No</v>
      </c>
    </row>
    <row r="80" spans="2:11" ht="11.25">
      <c r="B80" s="27">
        <v>78</v>
      </c>
      <c r="C80" s="24">
        <f t="shared" ca="1" si="6"/>
        <v>7.9225573755328071E-2</v>
      </c>
      <c r="D80" s="24">
        <f t="shared" ca="1" si="7"/>
        <v>3.674913060635146E-2</v>
      </c>
      <c r="E80" s="24">
        <f t="shared" ca="1" si="8"/>
        <v>1.8345586655733034E-2</v>
      </c>
      <c r="F80" s="25">
        <f ca="1">'Single Simulation'!$AP$4*Results!C80</f>
        <v>150219.29817038338</v>
      </c>
      <c r="G80" s="25">
        <f ca="1">'Single Simulation'!$AP$5*Results!D80</f>
        <v>34759.120621550232</v>
      </c>
      <c r="H80" s="25">
        <f t="shared" ca="1" si="9"/>
        <v>115460.17754883315</v>
      </c>
      <c r="I80" s="25">
        <f t="shared" ca="1" si="10"/>
        <v>2118.1846925084401</v>
      </c>
      <c r="J80" s="25">
        <f ca="1">'Single Simulation'!$AP$7*Results!E80</f>
        <v>256325.16197844886</v>
      </c>
      <c r="K80" s="28" t="str">
        <f t="shared" ca="1" si="11"/>
        <v>No</v>
      </c>
    </row>
    <row r="81" spans="2:11" ht="11.25">
      <c r="B81" s="27">
        <v>79</v>
      </c>
      <c r="C81" s="24">
        <f t="shared" ca="1" si="6"/>
        <v>4.5477761586354526E-2</v>
      </c>
      <c r="D81" s="24">
        <f t="shared" ca="1" si="7"/>
        <v>4.5375656674127567E-2</v>
      </c>
      <c r="E81" s="24">
        <f t="shared" ca="1" si="8"/>
        <v>8.1764245667456298E-2</v>
      </c>
      <c r="F81" s="25">
        <f ca="1">'Single Simulation'!$AP$4*Results!C81</f>
        <v>86230.204516540427</v>
      </c>
      <c r="G81" s="25">
        <f ca="1">'Single Simulation'!$AP$5*Results!D81</f>
        <v>42918.509842120067</v>
      </c>
      <c r="H81" s="25">
        <f t="shared" ca="1" si="9"/>
        <v>43311.69467442036</v>
      </c>
      <c r="I81" s="25">
        <f t="shared" ca="1" si="10"/>
        <v>3541.3480436331647</v>
      </c>
      <c r="J81" s="25">
        <f ca="1">'Single Simulation'!$AP$7*Results!E81</f>
        <v>1142412.8270221835</v>
      </c>
      <c r="K81" s="28" t="str">
        <f t="shared" ca="1" si="11"/>
        <v>No</v>
      </c>
    </row>
    <row r="82" spans="2:11" ht="11.25">
      <c r="B82" s="27">
        <v>80</v>
      </c>
      <c r="C82" s="24">
        <f t="shared" ca="1" si="6"/>
        <v>6.5141739652174652E-2</v>
      </c>
      <c r="D82" s="24">
        <f t="shared" ca="1" si="7"/>
        <v>4.6567879984225166E-2</v>
      </c>
      <c r="E82" s="24">
        <f t="shared" ca="1" si="8"/>
        <v>0.11990079369191062</v>
      </c>
      <c r="F82" s="25">
        <f ca="1">'Single Simulation'!$AP$4*Results!C82</f>
        <v>123514.99583162581</v>
      </c>
      <c r="G82" s="25">
        <f ca="1">'Single Simulation'!$AP$5*Results!D82</f>
        <v>44046.172814270598</v>
      </c>
      <c r="H82" s="25">
        <f t="shared" ca="1" si="9"/>
        <v>79468.823017355215</v>
      </c>
      <c r="I82" s="25">
        <f t="shared" ca="1" si="10"/>
        <v>9528.3749535428651</v>
      </c>
      <c r="J82" s="25">
        <f ca="1">'Single Simulation'!$AP$7*Results!E82</f>
        <v>1675257.9757278711</v>
      </c>
      <c r="K82" s="28" t="str">
        <f t="shared" ca="1" si="11"/>
        <v>No</v>
      </c>
    </row>
    <row r="83" spans="2:11" ht="11.25">
      <c r="B83" s="27">
        <v>81</v>
      </c>
      <c r="C83" s="24">
        <f t="shared" ca="1" si="6"/>
        <v>7.3841117718465896E-2</v>
      </c>
      <c r="D83" s="24">
        <f t="shared" ca="1" si="7"/>
        <v>4.120677124906072E-2</v>
      </c>
      <c r="E83" s="24">
        <f t="shared" ca="1" si="8"/>
        <v>5.7681031050633019E-2</v>
      </c>
      <c r="F83" s="25">
        <f ca="1">'Single Simulation'!$AP$4*Results!C83</f>
        <v>140009.85229896964</v>
      </c>
      <c r="G83" s="25">
        <f ca="1">'Single Simulation'!$AP$5*Results!D83</f>
        <v>38975.374618064547</v>
      </c>
      <c r="H83" s="25">
        <f t="shared" ca="1" si="9"/>
        <v>101034.47768090508</v>
      </c>
      <c r="I83" s="25">
        <f t="shared" ca="1" si="10"/>
        <v>5827.7728442967746</v>
      </c>
      <c r="J83" s="25">
        <f ca="1">'Single Simulation'!$AP$7*Results!E83</f>
        <v>805921.33163084602</v>
      </c>
      <c r="K83" s="28" t="str">
        <f t="shared" ca="1" si="11"/>
        <v>No</v>
      </c>
    </row>
    <row r="84" spans="2:11" ht="11.25">
      <c r="B84" s="27">
        <v>82</v>
      </c>
      <c r="C84" s="24">
        <f t="shared" ca="1" si="6"/>
        <v>2.3499142265633245E-2</v>
      </c>
      <c r="D84" s="24">
        <f t="shared" ca="1" si="7"/>
        <v>6.7287499462318975E-2</v>
      </c>
      <c r="E84" s="24">
        <f t="shared" ca="1" si="8"/>
        <v>2.1117756703131846E-2</v>
      </c>
      <c r="F84" s="25">
        <f ca="1">'Single Simulation'!$AP$4*Results!C84</f>
        <v>44556.6310400121</v>
      </c>
      <c r="G84" s="25">
        <f ca="1">'Single Simulation'!$AP$5*Results!D84</f>
        <v>63643.799772749204</v>
      </c>
      <c r="H84" s="25">
        <f t="shared" ca="1" si="9"/>
        <v>-19087.168732737104</v>
      </c>
      <c r="I84" s="25">
        <f t="shared" ca="1" si="10"/>
        <v>-403.07818544956757</v>
      </c>
      <c r="J84" s="25">
        <f ca="1">'Single Simulation'!$AP$7*Results!E84</f>
        <v>295058.01635731099</v>
      </c>
      <c r="K84" s="28" t="str">
        <f t="shared" ca="1" si="11"/>
        <v>No</v>
      </c>
    </row>
    <row r="85" spans="2:11" ht="11.25">
      <c r="B85" s="27">
        <v>83</v>
      </c>
      <c r="C85" s="24">
        <f t="shared" ca="1" si="6"/>
        <v>7.3256180063033222E-2</v>
      </c>
      <c r="D85" s="24">
        <f t="shared" ca="1" si="7"/>
        <v>5.7204262776742704E-2</v>
      </c>
      <c r="E85" s="24">
        <f t="shared" ca="1" si="8"/>
        <v>7.9411028365848665E-2</v>
      </c>
      <c r="F85" s="25">
        <f ca="1">'Single Simulation'!$AP$4*Results!C85</f>
        <v>138900.75431573644</v>
      </c>
      <c r="G85" s="25">
        <f ca="1">'Single Simulation'!$AP$5*Results!D85</f>
        <v>54106.582580759066</v>
      </c>
      <c r="H85" s="25">
        <f t="shared" ca="1" si="9"/>
        <v>84794.171734977368</v>
      </c>
      <c r="I85" s="25">
        <f t="shared" ca="1" si="10"/>
        <v>6733.5923769049314</v>
      </c>
      <c r="J85" s="25">
        <f ca="1">'Single Simulation'!$AP$7*Results!E85</f>
        <v>1109533.5946855841</v>
      </c>
      <c r="K85" s="28" t="str">
        <f t="shared" ca="1" si="11"/>
        <v>No</v>
      </c>
    </row>
    <row r="86" spans="2:11" ht="11.25">
      <c r="B86" s="27">
        <v>84</v>
      </c>
      <c r="C86" s="24">
        <f t="shared" ca="1" si="6"/>
        <v>8.36407964175028E-2</v>
      </c>
      <c r="D86" s="24">
        <f t="shared" ca="1" si="7"/>
        <v>3.5867758824680074E-2</v>
      </c>
      <c r="E86" s="24">
        <f t="shared" ca="1" si="8"/>
        <v>8.0292617843453901E-2</v>
      </c>
      <c r="F86" s="25">
        <f ca="1">'Single Simulation'!$AP$4*Results!C86</f>
        <v>158590.98445979008</v>
      </c>
      <c r="G86" s="25">
        <f ca="1">'Single Simulation'!$AP$5*Results!D86</f>
        <v>33925.476190619083</v>
      </c>
      <c r="H86" s="25">
        <f t="shared" ca="1" si="9"/>
        <v>124665.508269171</v>
      </c>
      <c r="I86" s="25">
        <f t="shared" ca="1" si="10"/>
        <v>10009.720013716489</v>
      </c>
      <c r="J86" s="25">
        <f ca="1">'Single Simulation'!$AP$7*Results!E86</f>
        <v>1121851.1929115879</v>
      </c>
      <c r="K86" s="28" t="str">
        <f t="shared" ca="1" si="11"/>
        <v>No</v>
      </c>
    </row>
    <row r="87" spans="2:11" ht="11.25">
      <c r="B87" s="27">
        <v>85</v>
      </c>
      <c r="C87" s="24">
        <f t="shared" ca="1" si="6"/>
        <v>2.5450850752120904E-2</v>
      </c>
      <c r="D87" s="24">
        <f t="shared" ca="1" si="7"/>
        <v>4.5089074187880981E-2</v>
      </c>
      <c r="E87" s="24">
        <f t="shared" ca="1" si="8"/>
        <v>0.14144114794014104</v>
      </c>
      <c r="F87" s="25">
        <f ca="1">'Single Simulation'!$AP$4*Results!C87</f>
        <v>48257.25780958018</v>
      </c>
      <c r="G87" s="25">
        <f ca="1">'Single Simulation'!$AP$5*Results!D87</f>
        <v>42647.44614501734</v>
      </c>
      <c r="H87" s="25">
        <f t="shared" ca="1" si="9"/>
        <v>5609.8116645628397</v>
      </c>
      <c r="I87" s="25">
        <f t="shared" ca="1" si="10"/>
        <v>793.45820156376146</v>
      </c>
      <c r="J87" s="25">
        <f ca="1">'Single Simulation'!$AP$7*Results!E87</f>
        <v>1976220.5393875837</v>
      </c>
      <c r="K87" s="28" t="str">
        <f t="shared" ca="1" si="11"/>
        <v>No</v>
      </c>
    </row>
    <row r="88" spans="2:11" ht="11.25">
      <c r="B88" s="27">
        <v>86</v>
      </c>
      <c r="C88" s="24">
        <f t="shared" ca="1" si="6"/>
        <v>5.0812523585287941E-2</v>
      </c>
      <c r="D88" s="24">
        <f t="shared" ca="1" si="7"/>
        <v>7.4875602576570166E-2</v>
      </c>
      <c r="E88" s="24">
        <f t="shared" ca="1" si="8"/>
        <v>0.11672135340275427</v>
      </c>
      <c r="F88" s="25">
        <f ca="1">'Single Simulation'!$AP$4*Results!C88</f>
        <v>96345.425718481114</v>
      </c>
      <c r="G88" s="25">
        <f ca="1">'Single Simulation'!$AP$5*Results!D88</f>
        <v>70820.997901932496</v>
      </c>
      <c r="H88" s="25">
        <f t="shared" ca="1" si="9"/>
        <v>25524.427816548618</v>
      </c>
      <c r="I88" s="25">
        <f t="shared" ca="1" si="10"/>
        <v>2979.2457595784626</v>
      </c>
      <c r="J88" s="25">
        <f ca="1">'Single Simulation'!$AP$7*Results!E88</f>
        <v>1630834.7276512485</v>
      </c>
      <c r="K88" s="28" t="str">
        <f t="shared" ca="1" si="11"/>
        <v>No</v>
      </c>
    </row>
    <row r="89" spans="2:11" ht="11.25">
      <c r="B89" s="27">
        <v>87</v>
      </c>
      <c r="C89" s="24">
        <f t="shared" ca="1" si="6"/>
        <v>4.1140442620722292E-2</v>
      </c>
      <c r="D89" s="24">
        <f t="shared" ca="1" si="7"/>
        <v>4.8885947210333368E-2</v>
      </c>
      <c r="E89" s="24">
        <f t="shared" ca="1" si="8"/>
        <v>7.9389039757636143E-2</v>
      </c>
      <c r="F89" s="25">
        <f ca="1">'Single Simulation'!$AP$4*Results!C89</f>
        <v>78006.23111913036</v>
      </c>
      <c r="G89" s="25">
        <f ca="1">'Single Simulation'!$AP$5*Results!D89</f>
        <v>46238.713889166982</v>
      </c>
      <c r="H89" s="25">
        <f t="shared" ca="1" si="9"/>
        <v>31767.517229963378</v>
      </c>
      <c r="I89" s="25">
        <f t="shared" ca="1" si="10"/>
        <v>2521.9926883709536</v>
      </c>
      <c r="J89" s="25">
        <f ca="1">'Single Simulation'!$AP$7*Results!E89</f>
        <v>1109226.3691022585</v>
      </c>
      <c r="K89" s="28" t="str">
        <f t="shared" ca="1" si="11"/>
        <v>No</v>
      </c>
    </row>
    <row r="90" spans="2:11" ht="11.25">
      <c r="B90" s="27">
        <v>88</v>
      </c>
      <c r="C90" s="24">
        <f t="shared" ca="1" si="6"/>
        <v>5.5823279530717723E-2</v>
      </c>
      <c r="D90" s="24">
        <f t="shared" ca="1" si="7"/>
        <v>3.5469592606019638E-2</v>
      </c>
      <c r="E90" s="24">
        <f t="shared" ca="1" si="8"/>
        <v>0.17823416553563112</v>
      </c>
      <c r="F90" s="25">
        <f ca="1">'Single Simulation'!$AP$4*Results!C90</f>
        <v>105846.30031927775</v>
      </c>
      <c r="G90" s="25">
        <f ca="1">'Single Simulation'!$AP$5*Results!D90</f>
        <v>33548.871155520581</v>
      </c>
      <c r="H90" s="25">
        <f t="shared" ca="1" si="9"/>
        <v>72297.429163757173</v>
      </c>
      <c r="I90" s="25">
        <f t="shared" ca="1" si="10"/>
        <v>12885.871957373662</v>
      </c>
      <c r="J90" s="25">
        <f ca="1">'Single Simulation'!$AP$7*Results!E90</f>
        <v>2490293.8351517566</v>
      </c>
      <c r="K90" s="28" t="str">
        <f t="shared" ca="1" si="11"/>
        <v>No</v>
      </c>
    </row>
    <row r="91" spans="2:11" ht="11.25">
      <c r="B91" s="27">
        <v>89</v>
      </c>
      <c r="C91" s="24">
        <f t="shared" ca="1" si="6"/>
        <v>6.2135066250448116E-2</v>
      </c>
      <c r="D91" s="24">
        <f t="shared" ca="1" si="7"/>
        <v>7.120169158767746E-2</v>
      </c>
      <c r="E91" s="24">
        <f t="shared" ca="1" si="8"/>
        <v>3.3240473400640513E-2</v>
      </c>
      <c r="F91" s="25">
        <f ca="1">'Single Simulation'!$AP$4*Results!C91</f>
        <v>117814.05424387816</v>
      </c>
      <c r="G91" s="25">
        <f ca="1">'Single Simulation'!$AP$5*Results!D91</f>
        <v>67346.033648119934</v>
      </c>
      <c r="H91" s="25">
        <f t="shared" ca="1" si="9"/>
        <v>50468.020595758222</v>
      </c>
      <c r="I91" s="25">
        <f t="shared" ca="1" si="10"/>
        <v>1677.5808961962787</v>
      </c>
      <c r="J91" s="25">
        <f ca="1">'Single Simulation'!$AP$7*Results!E91</f>
        <v>464437.0272016821</v>
      </c>
      <c r="K91" s="28" t="str">
        <f t="shared" ca="1" si="11"/>
        <v>No</v>
      </c>
    </row>
    <row r="92" spans="2:11" ht="11.25">
      <c r="B92" s="27">
        <v>90</v>
      </c>
      <c r="C92" s="24">
        <f t="shared" ca="1" si="6"/>
        <v>7.7093970518143873E-2</v>
      </c>
      <c r="D92" s="24">
        <f t="shared" ca="1" si="7"/>
        <v>5.5642424695676609E-2</v>
      </c>
      <c r="E92" s="24">
        <f t="shared" ca="1" si="8"/>
        <v>1.5070597839010422E-2</v>
      </c>
      <c r="F92" s="25">
        <f ca="1">'Single Simulation'!$AP$4*Results!C92</f>
        <v>146177.57367298278</v>
      </c>
      <c r="G92" s="25">
        <f ca="1">'Single Simulation'!$AP$5*Results!D92</f>
        <v>52629.319925687596</v>
      </c>
      <c r="H92" s="25">
        <f t="shared" ca="1" si="9"/>
        <v>93548.253747295181</v>
      </c>
      <c r="I92" s="25">
        <f t="shared" ca="1" si="10"/>
        <v>1409.8281107671853</v>
      </c>
      <c r="J92" s="25">
        <f ca="1">'Single Simulation'!$AP$7*Results!E92</f>
        <v>210566.90661834029</v>
      </c>
      <c r="K92" s="28" t="str">
        <f t="shared" ca="1" si="11"/>
        <v>No</v>
      </c>
    </row>
    <row r="93" spans="2:11" ht="11.25">
      <c r="B93" s="27">
        <v>91</v>
      </c>
      <c r="C93" s="24">
        <f t="shared" ca="1" si="6"/>
        <v>7.508972833158184E-2</v>
      </c>
      <c r="D93" s="24">
        <f t="shared" ca="1" si="7"/>
        <v>3.3555503022933725E-2</v>
      </c>
      <c r="E93" s="24">
        <f t="shared" ca="1" si="8"/>
        <v>5.7013075690382081E-3</v>
      </c>
      <c r="F93" s="25">
        <f ca="1">'Single Simulation'!$AP$4*Results!C93</f>
        <v>142377.33796173841</v>
      </c>
      <c r="G93" s="25">
        <f ca="1">'Single Simulation'!$AP$5*Results!D93</f>
        <v>31738.431844408355</v>
      </c>
      <c r="H93" s="25">
        <f t="shared" ca="1" si="9"/>
        <v>110638.90611733004</v>
      </c>
      <c r="I93" s="25">
        <f t="shared" ca="1" si="10"/>
        <v>630.78643287684145</v>
      </c>
      <c r="J93" s="25">
        <f ca="1">'Single Simulation'!$AP$7*Results!E93</f>
        <v>79658.863657324808</v>
      </c>
      <c r="K93" s="28" t="str">
        <f t="shared" ca="1" si="11"/>
        <v>No</v>
      </c>
    </row>
    <row r="94" spans="2:11" ht="11.25">
      <c r="B94" s="27">
        <v>92</v>
      </c>
      <c r="C94" s="24">
        <f t="shared" ca="1" si="6"/>
        <v>8.933686577425351E-2</v>
      </c>
      <c r="D94" s="24">
        <f t="shared" ca="1" si="7"/>
        <v>6.5740863058662932E-2</v>
      </c>
      <c r="E94" s="24">
        <f t="shared" ca="1" si="8"/>
        <v>9.7864152448346162E-2</v>
      </c>
      <c r="F94" s="25">
        <f ca="1">'Single Simulation'!$AP$4*Results!C94</f>
        <v>169391.2791189799</v>
      </c>
      <c r="G94" s="25">
        <f ca="1">'Single Simulation'!$AP$5*Results!D94</f>
        <v>62180.91560582228</v>
      </c>
      <c r="H94" s="25">
        <f t="shared" ca="1" si="9"/>
        <v>107210.36351315762</v>
      </c>
      <c r="I94" s="25">
        <f t="shared" ca="1" si="10"/>
        <v>10492.051358894267</v>
      </c>
      <c r="J94" s="25">
        <f ca="1">'Single Simulation'!$AP$7*Results!E94</f>
        <v>1367361.2732557021</v>
      </c>
      <c r="K94" s="28" t="str">
        <f t="shared" ca="1" si="11"/>
        <v>No</v>
      </c>
    </row>
    <row r="95" spans="2:11" ht="11.25">
      <c r="B95" s="27">
        <v>93</v>
      </c>
      <c r="C95" s="24">
        <f t="shared" ca="1" si="6"/>
        <v>5.0983338683784886E-2</v>
      </c>
      <c r="D95" s="24">
        <f t="shared" ca="1" si="7"/>
        <v>3.136958600353823E-2</v>
      </c>
      <c r="E95" s="24">
        <f t="shared" ca="1" si="8"/>
        <v>0.10793545794958995</v>
      </c>
      <c r="F95" s="25">
        <f ca="1">'Single Simulation'!$AP$4*Results!C95</f>
        <v>96669.307553560779</v>
      </c>
      <c r="G95" s="25">
        <f ca="1">'Single Simulation'!$AP$5*Results!D95</f>
        <v>29670.88488228415</v>
      </c>
      <c r="H95" s="25">
        <f t="shared" ca="1" si="9"/>
        <v>66998.422671276625</v>
      </c>
      <c r="I95" s="25">
        <f t="shared" ca="1" si="10"/>
        <v>7231.5054329244322</v>
      </c>
      <c r="J95" s="25">
        <f ca="1">'Single Simulation'!$AP$7*Results!E95</f>
        <v>1508077.8969529893</v>
      </c>
      <c r="K95" s="28" t="str">
        <f t="shared" ca="1" si="11"/>
        <v>No</v>
      </c>
    </row>
    <row r="96" spans="2:11" ht="11.25">
      <c r="B96" s="27">
        <v>94</v>
      </c>
      <c r="C96" s="24">
        <f t="shared" ca="1" si="6"/>
        <v>5.9599108427868919E-2</v>
      </c>
      <c r="D96" s="24">
        <f t="shared" ca="1" si="7"/>
        <v>5.8875252527253508E-2</v>
      </c>
      <c r="E96" s="24">
        <f t="shared" ca="1" si="8"/>
        <v>8.8226130189214658E-2</v>
      </c>
      <c r="F96" s="25">
        <f ca="1">'Single Simulation'!$AP$4*Results!C96</f>
        <v>113005.63461066697</v>
      </c>
      <c r="G96" s="25">
        <f ca="1">'Single Simulation'!$AP$5*Results!D96</f>
        <v>55687.086210016096</v>
      </c>
      <c r="H96" s="25">
        <f t="shared" ca="1" si="9"/>
        <v>57318.54840065087</v>
      </c>
      <c r="I96" s="25">
        <f t="shared" ca="1" si="10"/>
        <v>5056.9937134526253</v>
      </c>
      <c r="J96" s="25">
        <f ca="1">'Single Simulation'!$AP$7*Results!E96</f>
        <v>1232698.4977836651</v>
      </c>
      <c r="K96" s="28" t="str">
        <f t="shared" ca="1" si="11"/>
        <v>No</v>
      </c>
    </row>
    <row r="97" spans="2:11" ht="11.25">
      <c r="B97" s="27">
        <v>95</v>
      </c>
      <c r="C97" s="24">
        <f t="shared" ca="1" si="6"/>
        <v>7.2168260507247575E-2</v>
      </c>
      <c r="D97" s="24">
        <f t="shared" ca="1" si="7"/>
        <v>3.9232363424069813E-2</v>
      </c>
      <c r="E97" s="24">
        <f t="shared" ca="1" si="8"/>
        <v>0.12727846578184873</v>
      </c>
      <c r="F97" s="25">
        <f ca="1">'Single Simulation'!$AP$4*Results!C97</f>
        <v>136837.95433348999</v>
      </c>
      <c r="G97" s="25">
        <f ca="1">'Single Simulation'!$AP$5*Results!D97</f>
        <v>37107.883370989162</v>
      </c>
      <c r="H97" s="25">
        <f t="shared" ca="1" si="9"/>
        <v>99730.070962500831</v>
      </c>
      <c r="I97" s="25">
        <f t="shared" ca="1" si="10"/>
        <v>12693.490424422007</v>
      </c>
      <c r="J97" s="25">
        <f ca="1">'Single Simulation'!$AP$7*Results!E97</f>
        <v>1778339.0616023475</v>
      </c>
      <c r="K97" s="28" t="str">
        <f t="shared" ca="1" si="11"/>
        <v>No</v>
      </c>
    </row>
    <row r="98" spans="2:11" ht="11.25">
      <c r="B98" s="27">
        <v>96</v>
      </c>
      <c r="C98" s="24">
        <f t="shared" ca="1" si="6"/>
        <v>0.02</v>
      </c>
      <c r="D98" s="24">
        <f t="shared" ca="1" si="7"/>
        <v>4.9652116051591165E-2</v>
      </c>
      <c r="E98" s="24">
        <f t="shared" ca="1" si="8"/>
        <v>0.1186569640612728</v>
      </c>
      <c r="F98" s="25">
        <f ca="1">'Single Simulation'!$AP$4*Results!C98</f>
        <v>37921.921180225181</v>
      </c>
      <c r="G98" s="25">
        <f ca="1">'Single Simulation'!$AP$5*Results!D98</f>
        <v>46963.393758604499</v>
      </c>
      <c r="H98" s="25">
        <f t="shared" ca="1" si="9"/>
        <v>-9041.4725783793183</v>
      </c>
      <c r="I98" s="25">
        <f t="shared" ca="1" si="10"/>
        <v>-1072.8336867937383</v>
      </c>
      <c r="J98" s="25">
        <f ca="1">'Single Simulation'!$AP$7*Results!E98</f>
        <v>1657879.145738414</v>
      </c>
      <c r="K98" s="28" t="str">
        <f t="shared" ca="1" si="11"/>
        <v>No</v>
      </c>
    </row>
    <row r="99" spans="2:11" ht="11.25">
      <c r="B99" s="27">
        <v>97</v>
      </c>
      <c r="C99" s="24">
        <f t="shared" ca="1" si="6"/>
        <v>5.8339844211459047E-2</v>
      </c>
      <c r="D99" s="24">
        <f t="shared" ca="1" si="7"/>
        <v>6.1494678254093951E-2</v>
      </c>
      <c r="E99" s="24">
        <f t="shared" ca="1" si="8"/>
        <v>0.1038171839986775</v>
      </c>
      <c r="F99" s="25">
        <f ca="1">'Single Simulation'!$AP$4*Results!C99</f>
        <v>110617.9486926783</v>
      </c>
      <c r="G99" s="25">
        <f ca="1">'Single Simulation'!$AP$5*Results!D99</f>
        <v>58164.666857398886</v>
      </c>
      <c r="H99" s="25">
        <f t="shared" ca="1" si="9"/>
        <v>52453.281835279413</v>
      </c>
      <c r="I99" s="25">
        <f t="shared" ca="1" si="10"/>
        <v>5445.5520116276912</v>
      </c>
      <c r="J99" s="25">
        <f ca="1">'Single Simulation'!$AP$7*Results!E99</f>
        <v>1450537.2329585033</v>
      </c>
      <c r="K99" s="28" t="str">
        <f t="shared" ca="1" si="11"/>
        <v>No</v>
      </c>
    </row>
    <row r="100" spans="2:11" ht="11.25">
      <c r="B100" s="27">
        <v>98</v>
      </c>
      <c r="C100" s="24">
        <f t="shared" ca="1" si="6"/>
        <v>0.02</v>
      </c>
      <c r="D100" s="24">
        <f t="shared" ca="1" si="7"/>
        <v>0.08</v>
      </c>
      <c r="E100" s="24">
        <f t="shared" ca="1" si="8"/>
        <v>8.3327131932957835E-2</v>
      </c>
      <c r="F100" s="25">
        <f ca="1">'Single Simulation'!$AP$4*Results!C100</f>
        <v>37921.921180225181</v>
      </c>
      <c r="G100" s="25">
        <f ca="1">'Single Simulation'!$AP$5*Results!D100</f>
        <v>75667.90299097354</v>
      </c>
      <c r="H100" s="25">
        <f t="shared" ca="1" si="9"/>
        <v>-37745.981810748359</v>
      </c>
      <c r="I100" s="25">
        <f t="shared" ca="1" si="10"/>
        <v>-3145.2644062832551</v>
      </c>
      <c r="J100" s="25">
        <f ca="1">'Single Simulation'!$AP$7*Results!E100</f>
        <v>1164249.5271875272</v>
      </c>
      <c r="K100" s="28" t="str">
        <f t="shared" ca="1" si="11"/>
        <v>No</v>
      </c>
    </row>
    <row r="101" spans="2:11" ht="11.25">
      <c r="B101" s="27">
        <v>99</v>
      </c>
      <c r="C101" s="24">
        <f t="shared" ca="1" si="6"/>
        <v>8.1168995927853219E-2</v>
      </c>
      <c r="D101" s="24">
        <f t="shared" ca="1" si="7"/>
        <v>0.02</v>
      </c>
      <c r="E101" s="24">
        <f t="shared" ca="1" si="8"/>
        <v>0.10901175279339254</v>
      </c>
      <c r="F101" s="25">
        <f ca="1">'Single Simulation'!$AP$4*Results!C101</f>
        <v>153904.21329270341</v>
      </c>
      <c r="G101" s="25">
        <f ca="1">'Single Simulation'!$AP$5*Results!D101</f>
        <v>18916.975747743385</v>
      </c>
      <c r="H101" s="25">
        <f t="shared" ca="1" si="9"/>
        <v>134987.23754496002</v>
      </c>
      <c r="I101" s="25">
        <f t="shared" ca="1" si="10"/>
        <v>14715.195369514138</v>
      </c>
      <c r="J101" s="25">
        <f ca="1">'Single Simulation'!$AP$7*Results!E101</f>
        <v>1523115.9251911351</v>
      </c>
      <c r="K101" s="28" t="str">
        <f t="shared" ca="1" si="11"/>
        <v>No</v>
      </c>
    </row>
    <row r="102" spans="2:11" ht="11.25">
      <c r="B102" s="27">
        <v>100</v>
      </c>
      <c r="C102" s="24">
        <f t="shared" ca="1" si="6"/>
        <v>7.6297068013389716E-2</v>
      </c>
      <c r="D102" s="24">
        <f t="shared" ca="1" si="7"/>
        <v>5.1742535462014468E-2</v>
      </c>
      <c r="E102" s="24">
        <f t="shared" ca="1" si="8"/>
        <v>4.5654282177866372E-2</v>
      </c>
      <c r="F102" s="25">
        <f ca="1">'Single Simulation'!$AP$4*Results!C102</f>
        <v>144666.56997430223</v>
      </c>
      <c r="G102" s="25">
        <f ca="1">'Single Simulation'!$AP$5*Results!D102</f>
        <v>48940.614423083985</v>
      </c>
      <c r="H102" s="25">
        <f t="shared" ca="1" si="9"/>
        <v>95725.955551218241</v>
      </c>
      <c r="I102" s="25">
        <f t="shared" ca="1" si="10"/>
        <v>4370.2997864812114</v>
      </c>
      <c r="J102" s="25">
        <f ca="1">'Single Simulation'!$AP$7*Results!E102</f>
        <v>637883.18650439021</v>
      </c>
      <c r="K102" s="28" t="str">
        <f t="shared" ca="1" si="11"/>
        <v>No</v>
      </c>
    </row>
    <row r="103" spans="2:11" ht="11.25" hidden="1">
      <c r="B103" s="27">
        <v>101</v>
      </c>
      <c r="C103" s="24">
        <f t="shared" ca="1" si="6"/>
        <v>9.4882825072836852E-2</v>
      </c>
      <c r="D103" s="24">
        <f t="shared" ca="1" si="7"/>
        <v>4.4610054361374898E-2</v>
      </c>
      <c r="E103" s="24">
        <f t="shared" ca="1" si="8"/>
        <v>7.7657317958741964E-2</v>
      </c>
      <c r="F103" s="25">
        <f ca="1">'Single Simulation'!$AP$4*Results!C103</f>
        <v>179906.95068846061</v>
      </c>
      <c r="G103" s="25">
        <f ca="1">'Single Simulation'!$AP$5*Results!D103</f>
        <v>42194.365822982145</v>
      </c>
      <c r="H103" s="25">
        <f t="shared" ref="H103:H166" ca="1" si="12">F103-G103</f>
        <v>137712.58486547845</v>
      </c>
      <c r="I103" s="25">
        <f t="shared" ref="I103:I166" ca="1" si="13">H103*E103</f>
        <v>10694.389989818696</v>
      </c>
      <c r="J103" s="25">
        <f ca="1">'Single Simulation'!$AP$7*Results!E103</f>
        <v>1085030.6931103738</v>
      </c>
      <c r="K103" s="28" t="str">
        <f t="shared" ca="1" si="11"/>
        <v>No</v>
      </c>
    </row>
    <row r="104" spans="2:11" ht="11.25" hidden="1">
      <c r="B104" s="27">
        <v>102</v>
      </c>
      <c r="C104" s="24">
        <f t="shared" ca="1" si="6"/>
        <v>6.4655532663813048E-2</v>
      </c>
      <c r="D104" s="24">
        <f t="shared" ca="1" si="7"/>
        <v>7.3661098779127479E-2</v>
      </c>
      <c r="E104" s="24">
        <f t="shared" ca="1" si="8"/>
        <v>6.005833704150277E-2</v>
      </c>
      <c r="F104" s="25">
        <f ca="1">'Single Simulation'!$AP$4*Results!C104</f>
        <v>122593.10067712964</v>
      </c>
      <c r="G104" s="25">
        <f ca="1">'Single Simulation'!$AP$5*Results!D104</f>
        <v>69672.260957844221</v>
      </c>
      <c r="H104" s="25">
        <f t="shared" ca="1" si="12"/>
        <v>52920.839719285417</v>
      </c>
      <c r="I104" s="25">
        <f t="shared" ca="1" si="13"/>
        <v>3178.3376283801904</v>
      </c>
      <c r="J104" s="25">
        <f ca="1">'Single Simulation'!$AP$7*Results!E104</f>
        <v>839137.13195476739</v>
      </c>
      <c r="K104" s="28" t="str">
        <f t="shared" ca="1" si="11"/>
        <v>No</v>
      </c>
    </row>
    <row r="105" spans="2:11" ht="11.25" hidden="1">
      <c r="B105" s="27">
        <v>103</v>
      </c>
      <c r="C105" s="24">
        <f t="shared" ca="1" si="6"/>
        <v>3.7305485620259732E-2</v>
      </c>
      <c r="D105" s="24">
        <f t="shared" ca="1" si="7"/>
        <v>2.5442476692786237E-2</v>
      </c>
      <c r="E105" s="24">
        <f t="shared" ca="1" si="8"/>
        <v>4.6665036376714555E-2</v>
      </c>
      <c r="F105" s="25">
        <f ca="1">'Single Simulation'!$AP$4*Results!C105</f>
        <v>70734.784264075672</v>
      </c>
      <c r="G105" s="25">
        <f ca="1">'Single Simulation'!$AP$5*Results!D105</f>
        <v>24064.735727998177</v>
      </c>
      <c r="H105" s="25">
        <f t="shared" ca="1" si="12"/>
        <v>46670.048536077491</v>
      </c>
      <c r="I105" s="25">
        <f t="shared" ca="1" si="13"/>
        <v>2177.8595126390901</v>
      </c>
      <c r="J105" s="25">
        <f ca="1">'Single Simulation'!$AP$7*Results!E105</f>
        <v>652005.47861758329</v>
      </c>
      <c r="K105" s="28" t="str">
        <f t="shared" ca="1" si="11"/>
        <v>No</v>
      </c>
    </row>
    <row r="106" spans="2:11" ht="11.25" hidden="1">
      <c r="B106" s="27">
        <v>104</v>
      </c>
      <c r="C106" s="24">
        <f t="shared" ca="1" si="6"/>
        <v>5.9501157822833113E-2</v>
      </c>
      <c r="D106" s="24">
        <f t="shared" ca="1" si="7"/>
        <v>7.1734311242735382E-2</v>
      </c>
      <c r="E106" s="24">
        <f t="shared" ca="1" si="8"/>
        <v>5.6459102575686738E-2</v>
      </c>
      <c r="F106" s="25">
        <f ca="1">'Single Simulation'!$AP$4*Results!C106</f>
        <v>112819.9108544808</v>
      </c>
      <c r="G106" s="25">
        <f ca="1">'Single Simulation'!$AP$5*Results!D106</f>
        <v>67849.811302995033</v>
      </c>
      <c r="H106" s="25">
        <f t="shared" ca="1" si="12"/>
        <v>44970.099551485764</v>
      </c>
      <c r="I106" s="25">
        <f t="shared" ca="1" si="13"/>
        <v>2538.9714634161787</v>
      </c>
      <c r="J106" s="25">
        <f ca="1">'Single Simulation'!$AP$7*Results!E106</f>
        <v>788848.50533511094</v>
      </c>
      <c r="K106" s="28" t="str">
        <f t="shared" ca="1" si="11"/>
        <v>No</v>
      </c>
    </row>
    <row r="107" spans="2:11" ht="11.25" hidden="1">
      <c r="B107" s="27">
        <v>105</v>
      </c>
      <c r="C107" s="24">
        <f t="shared" ca="1" si="6"/>
        <v>2.8115281921711061E-2</v>
      </c>
      <c r="D107" s="24">
        <f t="shared" ca="1" si="7"/>
        <v>6.2363131888180247E-2</v>
      </c>
      <c r="E107" s="24">
        <f t="shared" ca="1" si="8"/>
        <v>-2.8908819579273784E-2</v>
      </c>
      <c r="F107" s="25">
        <f ca="1">'Single Simulation'!$AP$4*Results!C107</f>
        <v>53309.275249746832</v>
      </c>
      <c r="G107" s="25">
        <f ca="1">'Single Simulation'!$AP$5*Results!D107</f>
        <v>58986.09267410139</v>
      </c>
      <c r="H107" s="25">
        <f t="shared" ca="1" si="12"/>
        <v>-5676.8174243545582</v>
      </c>
      <c r="I107" s="25">
        <f t="shared" ca="1" si="13"/>
        <v>164.11009070514362</v>
      </c>
      <c r="J107" s="25">
        <f ca="1">'Single Simulation'!$AP$7*Results!E107</f>
        <v>-403915.01238514209</v>
      </c>
      <c r="K107" s="28" t="str">
        <f t="shared" ca="1" si="11"/>
        <v>No</v>
      </c>
    </row>
    <row r="108" spans="2:11" ht="11.25" hidden="1">
      <c r="B108" s="27">
        <v>106</v>
      </c>
      <c r="C108" s="24">
        <f t="shared" ca="1" si="6"/>
        <v>6.7515814504554211E-2</v>
      </c>
      <c r="D108" s="24">
        <f t="shared" ca="1" si="7"/>
        <v>5.7517246217070689E-2</v>
      </c>
      <c r="E108" s="24">
        <f t="shared" ca="1" si="8"/>
        <v>8.8050409002980057E-2</v>
      </c>
      <c r="F108" s="25">
        <f ca="1">'Single Simulation'!$AP$4*Results!C108</f>
        <v>128016.46980302043</v>
      </c>
      <c r="G108" s="25">
        <f ca="1">'Single Simulation'!$AP$5*Results!D108</f>
        <v>54402.617588265559</v>
      </c>
      <c r="H108" s="25">
        <f t="shared" ca="1" si="12"/>
        <v>73613.852214754879</v>
      </c>
      <c r="I108" s="25">
        <f t="shared" ca="1" si="13"/>
        <v>6481.7297957940964</v>
      </c>
      <c r="J108" s="25">
        <f ca="1">'Single Simulation'!$AP$7*Results!E108</f>
        <v>1230243.3153809505</v>
      </c>
      <c r="K108" s="28" t="str">
        <f t="shared" ca="1" si="11"/>
        <v>No</v>
      </c>
    </row>
    <row r="109" spans="2:11" ht="11.25" hidden="1">
      <c r="B109" s="27">
        <v>107</v>
      </c>
      <c r="C109" s="24">
        <f t="shared" ca="1" si="6"/>
        <v>7.0883743730892207E-2</v>
      </c>
      <c r="D109" s="24">
        <f t="shared" ca="1" si="7"/>
        <v>4.5184524648880731E-2</v>
      </c>
      <c r="E109" s="24">
        <f t="shared" ca="1" si="8"/>
        <v>8.9693607698315692E-4</v>
      </c>
      <c r="F109" s="25">
        <f ca="1">'Single Simulation'!$AP$4*Results!C109</f>
        <v>134402.38713610874</v>
      </c>
      <c r="G109" s="25">
        <f ca="1">'Single Simulation'!$AP$5*Results!D109</f>
        <v>42737.727847809496</v>
      </c>
      <c r="H109" s="25">
        <f t="shared" ca="1" si="12"/>
        <v>91664.659288299241</v>
      </c>
      <c r="I109" s="25">
        <f t="shared" ca="1" si="13"/>
        <v>82.21733990004482</v>
      </c>
      <c r="J109" s="25">
        <f ca="1">'Single Simulation'!$AP$7*Results!E109</f>
        <v>12532.021435530145</v>
      </c>
      <c r="K109" s="28" t="str">
        <f t="shared" ca="1" si="11"/>
        <v>No</v>
      </c>
    </row>
    <row r="110" spans="2:11" ht="11.25" hidden="1">
      <c r="B110" s="27">
        <v>108</v>
      </c>
      <c r="C110" s="24">
        <f t="shared" ca="1" si="6"/>
        <v>8.4928898853266183E-2</v>
      </c>
      <c r="D110" s="24">
        <f t="shared" ca="1" si="7"/>
        <v>4.8818417707947925E-2</v>
      </c>
      <c r="E110" s="24">
        <f t="shared" ca="1" si="8"/>
        <v>-1.9654197341019239E-2</v>
      </c>
      <c r="F110" s="25">
        <f ca="1">'Single Simulation'!$AP$4*Results!C110</f>
        <v>161033.35041184383</v>
      </c>
      <c r="G110" s="25">
        <f ca="1">'Single Simulation'!$AP$5*Results!D110</f>
        <v>46174.841191222855</v>
      </c>
      <c r="H110" s="25">
        <f t="shared" ca="1" si="12"/>
        <v>114858.50922062097</v>
      </c>
      <c r="I110" s="25">
        <f t="shared" ca="1" si="13"/>
        <v>-2257.4518065173625</v>
      </c>
      <c r="J110" s="25">
        <f ca="1">'Single Simulation'!$AP$7*Results!E110</f>
        <v>-274609.11507121584</v>
      </c>
      <c r="K110" s="28" t="str">
        <f t="shared" ca="1" si="11"/>
        <v>No</v>
      </c>
    </row>
    <row r="111" spans="2:11" ht="11.25" hidden="1">
      <c r="B111" s="27">
        <v>109</v>
      </c>
      <c r="C111" s="24">
        <f t="shared" ca="1" si="6"/>
        <v>7.6201333054805767E-2</v>
      </c>
      <c r="D111" s="24">
        <f t="shared" ca="1" si="7"/>
        <v>4.4520555593931338E-2</v>
      </c>
      <c r="E111" s="24">
        <f t="shared" ca="1" si="8"/>
        <v>0.14516003170763558</v>
      </c>
      <c r="F111" s="25">
        <f ca="1">'Single Simulation'!$AP$4*Results!C111</f>
        <v>144485.04729662157</v>
      </c>
      <c r="G111" s="25">
        <f ca="1">'Single Simulation'!$AP$5*Results!D111</f>
        <v>42109.713522323007</v>
      </c>
      <c r="H111" s="25">
        <f t="shared" ca="1" si="12"/>
        <v>102375.33377429858</v>
      </c>
      <c r="I111" s="25">
        <f t="shared" ca="1" si="13"/>
        <v>14860.806696756958</v>
      </c>
      <c r="J111" s="25">
        <f ca="1">'Single Simulation'!$AP$7*Results!E111</f>
        <v>2028180.910127986</v>
      </c>
      <c r="K111" s="28" t="str">
        <f t="shared" ca="1" si="11"/>
        <v>No</v>
      </c>
    </row>
    <row r="112" spans="2:11" ht="11.25" hidden="1">
      <c r="B112" s="27">
        <v>110</v>
      </c>
      <c r="C112" s="24">
        <f t="shared" ca="1" si="6"/>
        <v>7.8360946169915568E-2</v>
      </c>
      <c r="D112" s="24">
        <f t="shared" ca="1" si="7"/>
        <v>4.9538747550209795E-2</v>
      </c>
      <c r="E112" s="24">
        <f t="shared" ca="1" si="8"/>
        <v>0.16751775088341073</v>
      </c>
      <c r="F112" s="25">
        <f ca="1">'Single Simulation'!$AP$4*Results!C112</f>
        <v>148579.8812131703</v>
      </c>
      <c r="G112" s="25">
        <f ca="1">'Single Simulation'!$AP$5*Results!D112</f>
        <v>46856.164299045035</v>
      </c>
      <c r="H112" s="25">
        <f t="shared" ca="1" si="12"/>
        <v>101723.71691412527</v>
      </c>
      <c r="I112" s="25">
        <f t="shared" ca="1" si="13"/>
        <v>17040.528268955029</v>
      </c>
      <c r="J112" s="25">
        <f ca="1">'Single Simulation'!$AP$7*Results!E112</f>
        <v>2340563.7244114601</v>
      </c>
      <c r="K112" s="28" t="str">
        <f t="shared" ca="1" si="11"/>
        <v>No</v>
      </c>
    </row>
    <row r="113" spans="2:11" ht="11.25" hidden="1">
      <c r="B113" s="27">
        <v>111</v>
      </c>
      <c r="C113" s="24">
        <f t="shared" ca="1" si="6"/>
        <v>9.0725940408547243E-2</v>
      </c>
      <c r="D113" s="24">
        <f t="shared" ca="1" si="7"/>
        <v>6.0107515399562356E-2</v>
      </c>
      <c r="E113" s="24">
        <f t="shared" ca="1" si="8"/>
        <v>0.13202839005013267</v>
      </c>
      <c r="F113" s="25">
        <f ca="1">'Single Simulation'!$AP$4*Results!C113</f>
        <v>172025.09805873674</v>
      </c>
      <c r="G113" s="25">
        <f ca="1">'Single Simulation'!$AP$5*Results!D113</f>
        <v>56852.620553531655</v>
      </c>
      <c r="H113" s="25">
        <f t="shared" ca="1" si="12"/>
        <v>115172.47750520508</v>
      </c>
      <c r="I113" s="25">
        <f t="shared" ca="1" si="13"/>
        <v>15206.036783097348</v>
      </c>
      <c r="J113" s="25">
        <f ca="1">'Single Simulation'!$AP$7*Results!E113</f>
        <v>1844705.1653580302</v>
      </c>
      <c r="K113" s="28" t="str">
        <f t="shared" ca="1" si="11"/>
        <v>No</v>
      </c>
    </row>
    <row r="114" spans="2:11" ht="11.25" hidden="1">
      <c r="B114" s="27">
        <v>112</v>
      </c>
      <c r="C114" s="24">
        <f t="shared" ca="1" si="6"/>
        <v>3.3955859581565238E-2</v>
      </c>
      <c r="D114" s="24">
        <f t="shared" ca="1" si="7"/>
        <v>4.9736078269075154E-2</v>
      </c>
      <c r="E114" s="24">
        <f t="shared" ca="1" si="8"/>
        <v>4.9019966098944823E-2</v>
      </c>
      <c r="F114" s="25">
        <f ca="1">'Single Simulation'!$AP$4*Results!C114</f>
        <v>64383.571532945542</v>
      </c>
      <c r="G114" s="25">
        <f ca="1">'Single Simulation'!$AP$5*Results!D114</f>
        <v>47042.809320198074</v>
      </c>
      <c r="H114" s="25">
        <f t="shared" ca="1" si="12"/>
        <v>17340.762212747468</v>
      </c>
      <c r="I114" s="25">
        <f t="shared" ca="1" si="13"/>
        <v>850.04357579874431</v>
      </c>
      <c r="J114" s="25">
        <f ca="1">'Single Simulation'!$AP$7*Results!E114</f>
        <v>684908.63695348206</v>
      </c>
      <c r="K114" s="28" t="str">
        <f t="shared" ca="1" si="11"/>
        <v>No</v>
      </c>
    </row>
    <row r="115" spans="2:11" ht="11.25" hidden="1">
      <c r="B115" s="27">
        <v>113</v>
      </c>
      <c r="C115" s="24">
        <f t="shared" ca="1" si="6"/>
        <v>6.2274566164551133E-2</v>
      </c>
      <c r="D115" s="24">
        <f t="shared" ca="1" si="7"/>
        <v>3.0518139908481682E-2</v>
      </c>
      <c r="E115" s="24">
        <f t="shared" ca="1" si="8"/>
        <v>1.3979309880267569E-2</v>
      </c>
      <c r="F115" s="25">
        <f ca="1">'Single Simulation'!$AP$4*Results!C115</f>
        <v>118078.55948124129</v>
      </c>
      <c r="G115" s="25">
        <f ca="1">'Single Simulation'!$AP$5*Results!D115</f>
        <v>28865.545625749375</v>
      </c>
      <c r="H115" s="25">
        <f t="shared" ca="1" si="12"/>
        <v>89213.01385549191</v>
      </c>
      <c r="I115" s="25">
        <f t="shared" ca="1" si="13"/>
        <v>1247.1363660385257</v>
      </c>
      <c r="J115" s="25">
        <f ca="1">'Single Simulation'!$AP$7*Results!E115</f>
        <v>195319.39406727787</v>
      </c>
      <c r="K115" s="28" t="str">
        <f t="shared" ca="1" si="11"/>
        <v>No</v>
      </c>
    </row>
    <row r="116" spans="2:11" ht="11.25" hidden="1">
      <c r="B116" s="27">
        <v>114</v>
      </c>
      <c r="C116" s="24">
        <f t="shared" ca="1" si="6"/>
        <v>6.3407742028187802E-2</v>
      </c>
      <c r="D116" s="24">
        <f t="shared" ca="1" si="7"/>
        <v>4.4449469036070645E-2</v>
      </c>
      <c r="E116" s="24">
        <f t="shared" ca="1" si="8"/>
        <v>5.530722661183031E-2</v>
      </c>
      <c r="F116" s="25">
        <f ca="1">'Single Simulation'!$AP$4*Results!C116</f>
        <v>120227.16977044946</v>
      </c>
      <c r="G116" s="25">
        <f ca="1">'Single Simulation'!$AP$5*Results!D116</f>
        <v>42042.476387770941</v>
      </c>
      <c r="H116" s="25">
        <f t="shared" ca="1" si="12"/>
        <v>78184.693382678524</v>
      </c>
      <c r="I116" s="25">
        <f t="shared" ca="1" si="13"/>
        <v>4324.1785544922705</v>
      </c>
      <c r="J116" s="25">
        <f ca="1">'Single Simulation'!$AP$7*Results!E116</f>
        <v>772754.45511173946</v>
      </c>
      <c r="K116" s="28" t="str">
        <f t="shared" ca="1" si="11"/>
        <v>No</v>
      </c>
    </row>
    <row r="117" spans="2:11" ht="11.25" hidden="1">
      <c r="B117" s="27">
        <v>115</v>
      </c>
      <c r="C117" s="24">
        <f t="shared" ca="1" si="6"/>
        <v>4.0787630760372756E-2</v>
      </c>
      <c r="D117" s="24">
        <f t="shared" ca="1" si="7"/>
        <v>4.5411842518834518E-2</v>
      </c>
      <c r="E117" s="24">
        <f t="shared" ca="1" si="8"/>
        <v>3.7588160123513077E-2</v>
      </c>
      <c r="F117" s="25">
        <f ca="1">'Single Simulation'!$AP$4*Results!C117</f>
        <v>77337.265941149177</v>
      </c>
      <c r="G117" s="25">
        <f ca="1">'Single Simulation'!$AP$5*Results!D117</f>
        <v>42952.736179456719</v>
      </c>
      <c r="H117" s="25">
        <f t="shared" ca="1" si="12"/>
        <v>34384.529761692458</v>
      </c>
      <c r="I117" s="25">
        <f t="shared" ca="1" si="13"/>
        <v>1292.4512104541971</v>
      </c>
      <c r="J117" s="25">
        <f ca="1">'Single Simulation'!$AP$7*Results!E117</f>
        <v>525183.05426446907</v>
      </c>
      <c r="K117" s="28" t="str">
        <f t="shared" ca="1" si="11"/>
        <v>No</v>
      </c>
    </row>
    <row r="118" spans="2:11" ht="11.25" hidden="1">
      <c r="B118" s="27">
        <v>116</v>
      </c>
      <c r="C118" s="24">
        <f t="shared" ca="1" si="6"/>
        <v>7.1418642726572057E-2</v>
      </c>
      <c r="D118" s="24">
        <f t="shared" ca="1" si="7"/>
        <v>5.0126779425637182E-2</v>
      </c>
      <c r="E118" s="24">
        <f t="shared" ca="1" si="8"/>
        <v>9.3866284149912216E-2</v>
      </c>
      <c r="F118" s="25">
        <f ca="1">'Single Simulation'!$AP$4*Results!C118</f>
        <v>135416.60701378639</v>
      </c>
      <c r="G118" s="25">
        <f ca="1">'Single Simulation'!$AP$5*Results!D118</f>
        <v>47412.353535363029</v>
      </c>
      <c r="H118" s="25">
        <f t="shared" ca="1" si="12"/>
        <v>88004.253478423358</v>
      </c>
      <c r="I118" s="25">
        <f t="shared" ca="1" si="13"/>
        <v>8260.6322634065873</v>
      </c>
      <c r="J118" s="25">
        <f ca="1">'Single Simulation'!$AP$7*Results!E118</f>
        <v>1311502.9211411162</v>
      </c>
      <c r="K118" s="28" t="str">
        <f t="shared" ca="1" si="11"/>
        <v>No</v>
      </c>
    </row>
    <row r="119" spans="2:11" ht="11.25" hidden="1">
      <c r="B119" s="27">
        <v>117</v>
      </c>
      <c r="C119" s="24">
        <f t="shared" ca="1" si="6"/>
        <v>0.10386046109471025</v>
      </c>
      <c r="D119" s="24">
        <f t="shared" ca="1" si="7"/>
        <v>5.9190698577036571E-2</v>
      </c>
      <c r="E119" s="24">
        <f t="shared" ca="1" si="8"/>
        <v>6.135975700744277E-2</v>
      </c>
      <c r="F119" s="25">
        <f ca="1">'Single Simulation'!$AP$4*Results!C119</f>
        <v>196929.41096877228</v>
      </c>
      <c r="G119" s="25">
        <f ca="1">'Single Simulation'!$AP$5*Results!D119</f>
        <v>55985.450473689481</v>
      </c>
      <c r="H119" s="25">
        <f t="shared" ca="1" si="12"/>
        <v>140943.96049508281</v>
      </c>
      <c r="I119" s="25">
        <f t="shared" ca="1" si="13"/>
        <v>8648.287167644894</v>
      </c>
      <c r="J119" s="25">
        <f ca="1">'Single Simulation'!$AP$7*Results!E119</f>
        <v>857320.61607176682</v>
      </c>
      <c r="K119" s="28" t="str">
        <f t="shared" ca="1" si="11"/>
        <v>No</v>
      </c>
    </row>
    <row r="120" spans="2:11" ht="11.25" hidden="1">
      <c r="B120" s="27">
        <v>118</v>
      </c>
      <c r="C120" s="24">
        <f t="shared" ca="1" si="6"/>
        <v>6.1893109184845571E-2</v>
      </c>
      <c r="D120" s="24">
        <f t="shared" ca="1" si="7"/>
        <v>4.2257410762983956E-2</v>
      </c>
      <c r="E120" s="24">
        <f t="shared" ca="1" si="8"/>
        <v>4.9813683717913296E-2</v>
      </c>
      <c r="F120" s="25">
        <f ca="1">'Single Simulation'!$AP$4*Results!C120</f>
        <v>117355.28040533923</v>
      </c>
      <c r="G120" s="25">
        <f ca="1">'Single Simulation'!$AP$5*Results!D120</f>
        <v>39969.12072828989</v>
      </c>
      <c r="H120" s="25">
        <f t="shared" ca="1" si="12"/>
        <v>77386.159677049349</v>
      </c>
      <c r="I120" s="25">
        <f t="shared" ca="1" si="13"/>
        <v>3854.8896822964716</v>
      </c>
      <c r="J120" s="25">
        <f ca="1">'Single Simulation'!$AP$7*Results!E120</f>
        <v>695998.48657590686</v>
      </c>
      <c r="K120" s="28" t="str">
        <f t="shared" ca="1" si="11"/>
        <v>No</v>
      </c>
    </row>
    <row r="121" spans="2:11" ht="11.25" hidden="1">
      <c r="B121" s="27">
        <v>119</v>
      </c>
      <c r="C121" s="24">
        <f t="shared" ca="1" si="6"/>
        <v>4.4240561296553377E-2</v>
      </c>
      <c r="D121" s="24">
        <f t="shared" ca="1" si="7"/>
        <v>2.1788805048026876E-2</v>
      </c>
      <c r="E121" s="24">
        <f t="shared" ca="1" si="8"/>
        <v>7.9714221353731241E-2</v>
      </c>
      <c r="F121" s="25">
        <f ca="1">'Single Simulation'!$AP$4*Results!C121</f>
        <v>83884.353922840892</v>
      </c>
      <c r="G121" s="25">
        <f ca="1">'Single Simulation'!$AP$5*Results!D121</f>
        <v>20608.914833291652</v>
      </c>
      <c r="H121" s="25">
        <f t="shared" ca="1" si="12"/>
        <v>63275.43908954924</v>
      </c>
      <c r="I121" s="25">
        <f t="shared" ca="1" si="13"/>
        <v>5043.9523578388662</v>
      </c>
      <c r="J121" s="25">
        <f ca="1">'Single Simulation'!$AP$7*Results!E121</f>
        <v>1113769.8174452113</v>
      </c>
      <c r="K121" s="28" t="str">
        <f t="shared" ca="1" si="11"/>
        <v>No</v>
      </c>
    </row>
    <row r="122" spans="2:11" ht="11.25" hidden="1">
      <c r="B122" s="27">
        <v>120</v>
      </c>
      <c r="C122" s="24">
        <f t="shared" ca="1" si="6"/>
        <v>3.9932564285488033E-2</v>
      </c>
      <c r="D122" s="24">
        <f t="shared" ca="1" si="7"/>
        <v>4.9262355562635127E-2</v>
      </c>
      <c r="E122" s="24">
        <f t="shared" ca="1" si="8"/>
        <v>0.12438455756257427</v>
      </c>
      <c r="F122" s="25">
        <f ca="1">'Single Simulation'!$AP$4*Results!C122</f>
        <v>75715.977767927601</v>
      </c>
      <c r="G122" s="25">
        <f ca="1">'Single Simulation'!$AP$5*Results!D122</f>
        <v>46594.739272754006</v>
      </c>
      <c r="H122" s="25">
        <f t="shared" ca="1" si="12"/>
        <v>29121.238495173595</v>
      </c>
      <c r="I122" s="25">
        <f t="shared" ca="1" si="13"/>
        <v>3622.2323658963737</v>
      </c>
      <c r="J122" s="25">
        <f ca="1">'Single Simulation'!$AP$7*Results!E122</f>
        <v>1737905.2773371558</v>
      </c>
      <c r="K122" s="28" t="str">
        <f t="shared" ca="1" si="11"/>
        <v>No</v>
      </c>
    </row>
    <row r="123" spans="2:11" ht="11.25" hidden="1">
      <c r="B123" s="27">
        <v>121</v>
      </c>
      <c r="C123" s="24">
        <f t="shared" ca="1" si="6"/>
        <v>5.2405066528356296E-2</v>
      </c>
      <c r="D123" s="24">
        <f t="shared" ca="1" si="7"/>
        <v>2.5874970193963974E-2</v>
      </c>
      <c r="E123" s="24">
        <f t="shared" ca="1" si="8"/>
        <v>9.5486402683136601E-2</v>
      </c>
      <c r="F123" s="25">
        <f ca="1">'Single Simulation'!$AP$4*Results!C123</f>
        <v>99365.040116639211</v>
      </c>
      <c r="G123" s="25">
        <f ca="1">'Single Simulation'!$AP$5*Results!D123</f>
        <v>24473.809181639972</v>
      </c>
      <c r="H123" s="25">
        <f t="shared" ca="1" si="12"/>
        <v>74891.230934999243</v>
      </c>
      <c r="I123" s="25">
        <f t="shared" ca="1" si="13"/>
        <v>7151.0942344951145</v>
      </c>
      <c r="J123" s="25">
        <f ca="1">'Single Simulation'!$AP$7*Results!E123</f>
        <v>1334139.2725015809</v>
      </c>
      <c r="K123" s="28" t="str">
        <f t="shared" ca="1" si="11"/>
        <v>No</v>
      </c>
    </row>
    <row r="124" spans="2:11" ht="11.25" hidden="1">
      <c r="B124" s="27">
        <v>122</v>
      </c>
      <c r="C124" s="24">
        <f t="shared" ca="1" si="6"/>
        <v>2.3157341084687581E-2</v>
      </c>
      <c r="D124" s="24">
        <f t="shared" ca="1" si="7"/>
        <v>4.576634937186707E-2</v>
      </c>
      <c r="E124" s="24">
        <f t="shared" ca="1" si="8"/>
        <v>-1.0260841912893975E-2</v>
      </c>
      <c r="F124" s="25">
        <f ca="1">'Single Simulation'!$AP$4*Results!C124</f>
        <v>43908.543167855634</v>
      </c>
      <c r="G124" s="25">
        <f ca="1">'Single Simulation'!$AP$5*Results!D124</f>
        <v>43288.046056518004</v>
      </c>
      <c r="H124" s="25">
        <f t="shared" ca="1" si="12"/>
        <v>620.49711133763049</v>
      </c>
      <c r="I124" s="25">
        <f t="shared" ca="1" si="13"/>
        <v>-6.3668227668427981</v>
      </c>
      <c r="J124" s="25">
        <f ca="1">'Single Simulation'!$AP$7*Results!E124</f>
        <v>-143364.83290033625</v>
      </c>
      <c r="K124" s="28" t="str">
        <f t="shared" ca="1" si="11"/>
        <v>No</v>
      </c>
    </row>
    <row r="125" spans="2:11" ht="11.25" hidden="1">
      <c r="B125" s="27">
        <v>123</v>
      </c>
      <c r="C125" s="24">
        <f t="shared" ca="1" si="6"/>
        <v>2.0011126347729467E-2</v>
      </c>
      <c r="D125" s="24">
        <f t="shared" ca="1" si="7"/>
        <v>5.8597031601095279E-2</v>
      </c>
      <c r="E125" s="24">
        <f t="shared" ca="1" si="8"/>
        <v>2.6440153164294905E-2</v>
      </c>
      <c r="F125" s="25">
        <f ca="1">'Single Simulation'!$AP$4*Results!C125</f>
        <v>37943.017804306211</v>
      </c>
      <c r="G125" s="25">
        <f ca="1">'Single Simulation'!$AP$5*Results!D125</f>
        <v>55423.931284383601</v>
      </c>
      <c r="H125" s="25">
        <f t="shared" ca="1" si="12"/>
        <v>-17480.91348007739</v>
      </c>
      <c r="I125" s="25">
        <f t="shared" ca="1" si="13"/>
        <v>-462.19802986503367</v>
      </c>
      <c r="J125" s="25">
        <f ca="1">'Single Simulation'!$AP$7*Results!E125</f>
        <v>369422.72110197006</v>
      </c>
      <c r="K125" s="28" t="str">
        <f t="shared" ca="1" si="11"/>
        <v>No</v>
      </c>
    </row>
    <row r="126" spans="2:11" ht="11.25" hidden="1">
      <c r="B126" s="27">
        <v>124</v>
      </c>
      <c r="C126" s="24">
        <f t="shared" ca="1" si="6"/>
        <v>9.946997859831988E-2</v>
      </c>
      <c r="D126" s="24">
        <f t="shared" ca="1" si="7"/>
        <v>3.4418422992801477E-2</v>
      </c>
      <c r="E126" s="24">
        <f t="shared" ca="1" si="8"/>
        <v>3.4800528784970135E-2</v>
      </c>
      <c r="F126" s="25">
        <f ca="1">'Single Simulation'!$AP$4*Results!C126</f>
        <v>188604.63441020859</v>
      </c>
      <c r="G126" s="25">
        <f ca="1">'Single Simulation'!$AP$5*Results!D126</f>
        <v>32554.623651519942</v>
      </c>
      <c r="H126" s="25">
        <f t="shared" ca="1" si="12"/>
        <v>156050.01075868864</v>
      </c>
      <c r="I126" s="25">
        <f t="shared" ca="1" si="13"/>
        <v>5430.6228913026434</v>
      </c>
      <c r="J126" s="25">
        <f ca="1">'Single Simulation'!$AP$7*Results!E126</f>
        <v>486234.17419881443</v>
      </c>
      <c r="K126" s="28" t="str">
        <f t="shared" ca="1" si="11"/>
        <v>No</v>
      </c>
    </row>
    <row r="127" spans="2:11" ht="11.25" hidden="1">
      <c r="B127" s="27">
        <v>125</v>
      </c>
      <c r="C127" s="24">
        <f t="shared" ca="1" si="6"/>
        <v>5.2707748753971481E-2</v>
      </c>
      <c r="D127" s="24">
        <f t="shared" ca="1" si="7"/>
        <v>2.271877157472239E-2</v>
      </c>
      <c r="E127" s="24">
        <f t="shared" ca="1" si="8"/>
        <v>0.14337900232803419</v>
      </c>
      <c r="F127" s="25">
        <f ca="1">'Single Simulation'!$AP$4*Results!C127</f>
        <v>99938.954691760911</v>
      </c>
      <c r="G127" s="25">
        <f ca="1">'Single Simulation'!$AP$5*Results!D127</f>
        <v>21488.522544877262</v>
      </c>
      <c r="H127" s="25">
        <f t="shared" ca="1" si="12"/>
        <v>78450.432146883657</v>
      </c>
      <c r="I127" s="25">
        <f t="shared" ca="1" si="13"/>
        <v>11248.144693423321</v>
      </c>
      <c r="J127" s="25">
        <f ca="1">'Single Simulation'!$AP$7*Results!E127</f>
        <v>2003296.3069380389</v>
      </c>
      <c r="K127" s="28" t="str">
        <f t="shared" ca="1" si="11"/>
        <v>No</v>
      </c>
    </row>
    <row r="128" spans="2:11" ht="11.25" hidden="1">
      <c r="B128" s="27">
        <v>126</v>
      </c>
      <c r="C128" s="24">
        <f t="shared" ca="1" si="6"/>
        <v>4.6799698417549877E-2</v>
      </c>
      <c r="D128" s="24">
        <f t="shared" ca="1" si="7"/>
        <v>6.3618422964050902E-2</v>
      </c>
      <c r="E128" s="24">
        <f t="shared" ca="1" si="8"/>
        <v>0.11717316622713161</v>
      </c>
      <c r="F128" s="25">
        <f ca="1">'Single Simulation'!$AP$4*Results!C128</f>
        <v>88736.723732431768</v>
      </c>
      <c r="G128" s="25">
        <f ca="1">'Single Simulation'!$AP$5*Results!D128</f>
        <v>60173.408216031581</v>
      </c>
      <c r="H128" s="25">
        <f t="shared" ca="1" si="12"/>
        <v>28563.315516400187</v>
      </c>
      <c r="I128" s="25">
        <f t="shared" ca="1" si="13"/>
        <v>3346.8541170011667</v>
      </c>
      <c r="J128" s="25">
        <f ca="1">'Single Simulation'!$AP$7*Results!E128</f>
        <v>1637147.4718314009</v>
      </c>
      <c r="K128" s="28" t="str">
        <f t="shared" ca="1" si="11"/>
        <v>No</v>
      </c>
    </row>
    <row r="129" spans="2:11" ht="11.25" hidden="1">
      <c r="B129" s="27">
        <v>127</v>
      </c>
      <c r="C129" s="24">
        <f t="shared" ca="1" si="6"/>
        <v>0.02</v>
      </c>
      <c r="D129" s="24">
        <f t="shared" ca="1" si="7"/>
        <v>5.963317340627846E-2</v>
      </c>
      <c r="E129" s="24">
        <f t="shared" ca="1" si="8"/>
        <v>5.8655248115345934E-2</v>
      </c>
      <c r="F129" s="25">
        <f ca="1">'Single Simulation'!$AP$4*Results!C129</f>
        <v>37921.921180225181</v>
      </c>
      <c r="G129" s="25">
        <f ca="1">'Single Simulation'!$AP$5*Results!D129</f>
        <v>56403.964754377266</v>
      </c>
      <c r="H129" s="25">
        <f t="shared" ca="1" si="12"/>
        <v>-18482.043574152085</v>
      </c>
      <c r="I129" s="25">
        <f t="shared" ca="1" si="13"/>
        <v>-1084.0688515205254</v>
      </c>
      <c r="J129" s="25">
        <f ca="1">'Single Simulation'!$AP$7*Results!E129</f>
        <v>819533.12566070165</v>
      </c>
      <c r="K129" s="28" t="str">
        <f t="shared" ca="1" si="11"/>
        <v>No</v>
      </c>
    </row>
    <row r="130" spans="2:11" ht="11.25" hidden="1">
      <c r="B130" s="27">
        <v>128</v>
      </c>
      <c r="C130" s="24">
        <f t="shared" ca="1" si="6"/>
        <v>5.7881655683792985E-2</v>
      </c>
      <c r="D130" s="24">
        <f t="shared" ca="1" si="7"/>
        <v>6.2892043382583321E-2</v>
      </c>
      <c r="E130" s="24">
        <f t="shared" ca="1" si="8"/>
        <v>1.549780855931706E-2</v>
      </c>
      <c r="F130" s="25">
        <f ca="1">'Single Simulation'!$AP$4*Results!C130</f>
        <v>109749.17923108651</v>
      </c>
      <c r="G130" s="25">
        <f ca="1">'Single Simulation'!$AP$5*Results!D130</f>
        <v>59486.362969717673</v>
      </c>
      <c r="H130" s="25">
        <f t="shared" ca="1" si="12"/>
        <v>50262.81626136884</v>
      </c>
      <c r="I130" s="25">
        <f t="shared" ca="1" si="13"/>
        <v>778.96350407082275</v>
      </c>
      <c r="J130" s="25">
        <f ca="1">'Single Simulation'!$AP$7*Results!E130</f>
        <v>216535.9093619679</v>
      </c>
      <c r="K130" s="28" t="str">
        <f t="shared" ca="1" si="11"/>
        <v>No</v>
      </c>
    </row>
    <row r="131" spans="2:11" ht="11.25" hidden="1">
      <c r="B131" s="27">
        <v>129</v>
      </c>
      <c r="C131" s="24">
        <f t="shared" ca="1" si="6"/>
        <v>3.9047759032058101E-2</v>
      </c>
      <c r="D131" s="24">
        <f t="shared" ca="1" si="7"/>
        <v>6.3787533104038313E-2</v>
      </c>
      <c r="E131" s="24">
        <f t="shared" ca="1" si="8"/>
        <v>6.4514768317306945E-2</v>
      </c>
      <c r="F131" s="25">
        <f ca="1">'Single Simulation'!$AP$4*Results!C131</f>
        <v>74038.30201390665</v>
      </c>
      <c r="G131" s="25">
        <f ca="1">'Single Simulation'!$AP$5*Results!D131</f>
        <v>60333.360836873551</v>
      </c>
      <c r="H131" s="25">
        <f t="shared" ca="1" si="12"/>
        <v>13704.941177033099</v>
      </c>
      <c r="I131" s="25">
        <f t="shared" ca="1" si="13"/>
        <v>884.17110483861029</v>
      </c>
      <c r="J131" s="25">
        <f ca="1">'Single Simulation'!$AP$7*Results!E131</f>
        <v>901402.54161717033</v>
      </c>
      <c r="K131" s="28" t="str">
        <f t="shared" ca="1" si="11"/>
        <v>No</v>
      </c>
    </row>
    <row r="132" spans="2:11" ht="11.25" hidden="1">
      <c r="B132" s="27">
        <v>130</v>
      </c>
      <c r="C132" s="24">
        <f t="shared" ref="C132:C195" ca="1" si="14">MAX(0.02,MIN(0.12,_xlfn.NORM.INV(RAND(),0.06,0.02)))</f>
        <v>0.11832874336497946</v>
      </c>
      <c r="D132" s="24">
        <f t="shared" ref="D132:D195" ca="1" si="15">MAX(0.02,MIN(0.08,_xlfn.NORM.INV(RAND(),0.05,0.015)))</f>
        <v>5.3761035629942354E-2</v>
      </c>
      <c r="E132" s="24">
        <f t="shared" ref="E132:E195" ca="1" si="16">MAX(-0.1,MIN(0.25,_xlfn.NORM.INV(RAND(),0.07,0.04)))</f>
        <v>0.16274490274547448</v>
      </c>
      <c r="F132" s="25">
        <f ca="1">'Single Simulation'!$AP$4*Results!C132</f>
        <v>224362.66396209222</v>
      </c>
      <c r="G132" s="25">
        <f ca="1">'Single Simulation'!$AP$5*Results!D132</f>
        <v>50849.810359259376</v>
      </c>
      <c r="H132" s="25">
        <f t="shared" ca="1" si="12"/>
        <v>173512.85360283285</v>
      </c>
      <c r="I132" s="25">
        <f t="shared" ca="1" si="13"/>
        <v>28238.332484682785</v>
      </c>
      <c r="J132" s="25">
        <f ca="1">'Single Simulation'!$AP$7*Results!E132</f>
        <v>2273877.3275677413</v>
      </c>
      <c r="K132" s="28" t="str">
        <f t="shared" ref="K132:K195" ca="1" si="17">IF(J132&gt;$N$4,"Yes","No")</f>
        <v>No</v>
      </c>
    </row>
    <row r="133" spans="2:11" ht="11.25" hidden="1">
      <c r="B133" s="27">
        <v>131</v>
      </c>
      <c r="C133" s="24">
        <f t="shared" ca="1" si="14"/>
        <v>8.1892147212506927E-2</v>
      </c>
      <c r="D133" s="24">
        <f t="shared" ca="1" si="15"/>
        <v>6.2940738764340629E-2</v>
      </c>
      <c r="E133" s="24">
        <f t="shared" ca="1" si="16"/>
        <v>3.6649382971814262E-2</v>
      </c>
      <c r="F133" s="25">
        <f ca="1">'Single Simulation'!$AP$4*Results!C133</f>
        <v>155275.37759360424</v>
      </c>
      <c r="G133" s="25">
        <f ca="1">'Single Simulation'!$AP$5*Results!D133</f>
        <v>59532.421437504177</v>
      </c>
      <c r="H133" s="25">
        <f t="shared" ca="1" si="12"/>
        <v>95742.956156100059</v>
      </c>
      <c r="I133" s="25">
        <f t="shared" ca="1" si="13"/>
        <v>3508.9202670185332</v>
      </c>
      <c r="J133" s="25">
        <f ca="1">'Single Simulation'!$AP$7*Results!E133</f>
        <v>512066.42790705204</v>
      </c>
      <c r="K133" s="28" t="str">
        <f t="shared" ca="1" si="17"/>
        <v>No</v>
      </c>
    </row>
    <row r="134" spans="2:11" ht="11.25" hidden="1">
      <c r="B134" s="27">
        <v>132</v>
      </c>
      <c r="C134" s="24">
        <f t="shared" ca="1" si="14"/>
        <v>2.4981539176353824E-2</v>
      </c>
      <c r="D134" s="24">
        <f t="shared" ca="1" si="15"/>
        <v>5.1959446913789814E-2</v>
      </c>
      <c r="E134" s="24">
        <f t="shared" ca="1" si="16"/>
        <v>4.0594382351436621E-2</v>
      </c>
      <c r="F134" s="25">
        <f ca="1">'Single Simulation'!$AP$4*Results!C134</f>
        <v>47367.39798031986</v>
      </c>
      <c r="G134" s="25">
        <f ca="1">'Single Simulation'!$AP$5*Results!D134</f>
        <v>49145.779856716086</v>
      </c>
      <c r="H134" s="25">
        <f t="shared" ca="1" si="12"/>
        <v>-1778.3818763962263</v>
      </c>
      <c r="I134" s="25">
        <f t="shared" ca="1" si="13"/>
        <v>-72.192313857293712</v>
      </c>
      <c r="J134" s="25">
        <f ca="1">'Single Simulation'!$AP$7*Results!E134</f>
        <v>567186.09368620976</v>
      </c>
      <c r="K134" s="28" t="str">
        <f t="shared" ca="1" si="17"/>
        <v>No</v>
      </c>
    </row>
    <row r="135" spans="2:11" ht="11.25" hidden="1">
      <c r="B135" s="27">
        <v>133</v>
      </c>
      <c r="C135" s="24">
        <f t="shared" ca="1" si="14"/>
        <v>8.5931814148004715E-2</v>
      </c>
      <c r="D135" s="24">
        <f t="shared" ca="1" si="15"/>
        <v>3.6280327425251647E-2</v>
      </c>
      <c r="E135" s="24">
        <f t="shared" ca="1" si="16"/>
        <v>6.4561282417416183E-3</v>
      </c>
      <c r="F135" s="25">
        <f ca="1">'Single Simulation'!$AP$4*Results!C135</f>
        <v>162934.97414971967</v>
      </c>
      <c r="G135" s="25">
        <f ca="1">'Single Simulation'!$AP$5*Results!D135</f>
        <v>34315.703701183731</v>
      </c>
      <c r="H135" s="25">
        <f t="shared" ca="1" si="12"/>
        <v>128619.27044853594</v>
      </c>
      <c r="I135" s="25">
        <f t="shared" ca="1" si="13"/>
        <v>830.38250437499607</v>
      </c>
      <c r="J135" s="25">
        <f ca="1">'Single Simulation'!$AP$7*Results!E135</f>
        <v>90205.243820911477</v>
      </c>
      <c r="K135" s="28" t="str">
        <f t="shared" ca="1" si="17"/>
        <v>No</v>
      </c>
    </row>
    <row r="136" spans="2:11" ht="11.25" hidden="1">
      <c r="B136" s="27">
        <v>134</v>
      </c>
      <c r="C136" s="24">
        <f t="shared" ca="1" si="14"/>
        <v>5.8658184030982295E-2</v>
      </c>
      <c r="D136" s="24">
        <f t="shared" ca="1" si="15"/>
        <v>3.3632938704286679E-2</v>
      </c>
      <c r="E136" s="24">
        <f t="shared" ca="1" si="16"/>
        <v>3.0830039366391664E-2</v>
      </c>
      <c r="F136" s="25">
        <f ca="1">'Single Simulation'!$AP$4*Results!C136</f>
        <v>111221.55156990269</v>
      </c>
      <c r="G136" s="25">
        <f ca="1">'Single Simulation'!$AP$5*Results!D136</f>
        <v>31811.674289716546</v>
      </c>
      <c r="H136" s="25">
        <f t="shared" ca="1" si="12"/>
        <v>79409.877280186134</v>
      </c>
      <c r="I136" s="25">
        <f t="shared" ca="1" si="13"/>
        <v>2448.2096426284693</v>
      </c>
      <c r="J136" s="25">
        <f ca="1">'Single Simulation'!$AP$7*Results!E136</f>
        <v>430758.36072665168</v>
      </c>
      <c r="K136" s="28" t="str">
        <f t="shared" ca="1" si="17"/>
        <v>No</v>
      </c>
    </row>
    <row r="137" spans="2:11" ht="11.25" hidden="1">
      <c r="B137" s="27">
        <v>135</v>
      </c>
      <c r="C137" s="24">
        <f t="shared" ca="1" si="14"/>
        <v>3.9095229897026913E-2</v>
      </c>
      <c r="D137" s="24">
        <f t="shared" ca="1" si="15"/>
        <v>5.5345900575089035E-2</v>
      </c>
      <c r="E137" s="24">
        <f t="shared" ca="1" si="16"/>
        <v>8.0441753869861701E-2</v>
      </c>
      <c r="F137" s="25">
        <f ca="1">'Single Simulation'!$AP$4*Results!C137</f>
        <v>74128.311333891877</v>
      </c>
      <c r="G137" s="25">
        <f ca="1">'Single Simulation'!$AP$5*Results!D137</f>
        <v>52348.852945798797</v>
      </c>
      <c r="H137" s="25">
        <f t="shared" ca="1" si="12"/>
        <v>21779.45838809308</v>
      </c>
      <c r="I137" s="25">
        <f t="shared" ca="1" si="13"/>
        <v>1751.9778310738784</v>
      </c>
      <c r="J137" s="25">
        <f ca="1">'Single Simulation'!$AP$7*Results!E137</f>
        <v>1123934.92655517</v>
      </c>
      <c r="K137" s="28" t="str">
        <f t="shared" ca="1" si="17"/>
        <v>No</v>
      </c>
    </row>
    <row r="138" spans="2:11" ht="11.25" hidden="1">
      <c r="B138" s="27">
        <v>136</v>
      </c>
      <c r="C138" s="24">
        <f t="shared" ca="1" si="14"/>
        <v>8.8435062302796547E-2</v>
      </c>
      <c r="D138" s="24">
        <f t="shared" ca="1" si="15"/>
        <v>5.7117084878349655E-2</v>
      </c>
      <c r="E138" s="24">
        <f t="shared" ca="1" si="16"/>
        <v>8.4401214188740942E-2</v>
      </c>
      <c r="F138" s="25">
        <f ca="1">'Single Simulation'!$AP$4*Results!C138</f>
        <v>167681.37311074766</v>
      </c>
      <c r="G138" s="25">
        <f ca="1">'Single Simulation'!$AP$5*Results!D138</f>
        <v>54024.125471277039</v>
      </c>
      <c r="H138" s="25">
        <f t="shared" ca="1" si="12"/>
        <v>113657.24763947062</v>
      </c>
      <c r="I138" s="25">
        <f t="shared" ca="1" si="13"/>
        <v>9592.8097021217309</v>
      </c>
      <c r="J138" s="25">
        <f ca="1">'Single Simulation'!$AP$7*Results!E138</f>
        <v>1179256.6410704593</v>
      </c>
      <c r="K138" s="28" t="str">
        <f t="shared" ca="1" si="17"/>
        <v>No</v>
      </c>
    </row>
    <row r="139" spans="2:11" ht="11.25" hidden="1">
      <c r="B139" s="27">
        <v>137</v>
      </c>
      <c r="C139" s="24">
        <f t="shared" ca="1" si="14"/>
        <v>9.870157632944182E-2</v>
      </c>
      <c r="D139" s="24">
        <f t="shared" ca="1" si="15"/>
        <v>5.6798569179918282E-2</v>
      </c>
      <c r="E139" s="24">
        <f t="shared" ca="1" si="16"/>
        <v>7.5729167674076531E-2</v>
      </c>
      <c r="F139" s="25">
        <f ca="1">'Single Simulation'!$AP$4*Results!C139</f>
        <v>187147.66989645359</v>
      </c>
      <c r="G139" s="25">
        <f ca="1">'Single Simulation'!$AP$5*Results!D139</f>
        <v>53722.857784151951</v>
      </c>
      <c r="H139" s="25">
        <f t="shared" ca="1" si="12"/>
        <v>133424.81211230165</v>
      </c>
      <c r="I139" s="25">
        <f t="shared" ca="1" si="13"/>
        <v>10104.149968334648</v>
      </c>
      <c r="J139" s="25">
        <f ca="1">'Single Simulation'!$AP$7*Results!E139</f>
        <v>1058090.5116209358</v>
      </c>
      <c r="K139" s="28" t="str">
        <f t="shared" ca="1" si="17"/>
        <v>No</v>
      </c>
    </row>
    <row r="140" spans="2:11" ht="11.25" hidden="1">
      <c r="B140" s="27">
        <v>138</v>
      </c>
      <c r="C140" s="24">
        <f t="shared" ca="1" si="14"/>
        <v>8.099855892499358E-2</v>
      </c>
      <c r="D140" s="24">
        <f t="shared" ca="1" si="15"/>
        <v>7.043808056861578E-2</v>
      </c>
      <c r="E140" s="24">
        <f t="shared" ca="1" si="16"/>
        <v>5.2315260738327637E-2</v>
      </c>
      <c r="F140" s="25">
        <f ca="1">'Single Simulation'!$AP$4*Results!C140</f>
        <v>153581.04836327155</v>
      </c>
      <c r="G140" s="25">
        <f ca="1">'Single Simulation'!$AP$5*Results!D140</f>
        <v>66623.773091704963</v>
      </c>
      <c r="H140" s="25">
        <f t="shared" ca="1" si="12"/>
        <v>86957.275271566585</v>
      </c>
      <c r="I140" s="25">
        <f t="shared" ca="1" si="13"/>
        <v>4549.1925289265364</v>
      </c>
      <c r="J140" s="25">
        <f ca="1">'Single Simulation'!$AP$7*Results!E140</f>
        <v>730950.60595982918</v>
      </c>
      <c r="K140" s="28" t="str">
        <f t="shared" ca="1" si="17"/>
        <v>No</v>
      </c>
    </row>
    <row r="141" spans="2:11" ht="11.25" hidden="1">
      <c r="B141" s="27">
        <v>139</v>
      </c>
      <c r="C141" s="24">
        <f t="shared" ca="1" si="14"/>
        <v>4.3251411042668227E-2</v>
      </c>
      <c r="D141" s="24">
        <f t="shared" ca="1" si="15"/>
        <v>4.5214368544085191E-2</v>
      </c>
      <c r="E141" s="24">
        <f t="shared" ca="1" si="16"/>
        <v>0.11447043788866408</v>
      </c>
      <c r="F141" s="25">
        <f ca="1">'Single Simulation'!$AP$4*Results!C141</f>
        <v>82008.830024679264</v>
      </c>
      <c r="G141" s="25">
        <f ca="1">'Single Simulation'!$AP$5*Results!D141</f>
        <v>42765.955659899548</v>
      </c>
      <c r="H141" s="25">
        <f t="shared" ca="1" si="12"/>
        <v>39242.874364779716</v>
      </c>
      <c r="I141" s="25">
        <f t="shared" ca="1" si="13"/>
        <v>4492.1490125461642</v>
      </c>
      <c r="J141" s="25">
        <f ca="1">'Single Simulation'!$AP$7*Results!E141</f>
        <v>1599384.8593763264</v>
      </c>
      <c r="K141" s="28" t="str">
        <f t="shared" ca="1" si="17"/>
        <v>No</v>
      </c>
    </row>
    <row r="142" spans="2:11" ht="11.25" hidden="1">
      <c r="B142" s="27">
        <v>140</v>
      </c>
      <c r="C142" s="24">
        <f t="shared" ca="1" si="14"/>
        <v>2.8431187433307054E-2</v>
      </c>
      <c r="D142" s="24">
        <f t="shared" ca="1" si="15"/>
        <v>4.4590186596429368E-2</v>
      </c>
      <c r="E142" s="24">
        <f t="shared" ca="1" si="16"/>
        <v>9.635958779612229E-2</v>
      </c>
      <c r="F142" s="25">
        <f ca="1">'Single Simulation'!$AP$4*Results!C142</f>
        <v>53908.262445303932</v>
      </c>
      <c r="G142" s="25">
        <f ca="1">'Single Simulation'!$AP$5*Results!D142</f>
        <v>42175.57392160032</v>
      </c>
      <c r="H142" s="25">
        <f t="shared" ca="1" si="12"/>
        <v>11732.688523703611</v>
      </c>
      <c r="I142" s="25">
        <f t="shared" ca="1" si="13"/>
        <v>1130.5570298843745</v>
      </c>
      <c r="J142" s="25">
        <f ca="1">'Single Simulation'!$AP$7*Results!E142</f>
        <v>1346339.4446586967</v>
      </c>
      <c r="K142" s="28" t="str">
        <f t="shared" ca="1" si="17"/>
        <v>No</v>
      </c>
    </row>
    <row r="143" spans="2:11" ht="11.25" hidden="1">
      <c r="B143" s="27">
        <v>141</v>
      </c>
      <c r="C143" s="24">
        <f t="shared" ca="1" si="14"/>
        <v>7.3694580259916959E-2</v>
      </c>
      <c r="D143" s="24">
        <f t="shared" ca="1" si="15"/>
        <v>3.7530031313600415E-2</v>
      </c>
      <c r="E143" s="24">
        <f t="shared" ca="1" si="16"/>
        <v>9.2007818844800388E-2</v>
      </c>
      <c r="F143" s="25">
        <f ca="1">'Single Simulation'!$AP$4*Results!C143</f>
        <v>139732.00320131745</v>
      </c>
      <c r="G143" s="25">
        <f ca="1">'Single Simulation'!$AP$5*Results!D143</f>
        <v>35497.734608571438</v>
      </c>
      <c r="H143" s="25">
        <f t="shared" ca="1" si="12"/>
        <v>104234.26859274601</v>
      </c>
      <c r="I143" s="25">
        <f t="shared" ca="1" si="13"/>
        <v>9590.367702101641</v>
      </c>
      <c r="J143" s="25">
        <f ca="1">'Single Simulation'!$AP$7*Results!E143</f>
        <v>1285536.3805608917</v>
      </c>
      <c r="K143" s="28" t="str">
        <f t="shared" ca="1" si="17"/>
        <v>No</v>
      </c>
    </row>
    <row r="144" spans="2:11" ht="11.25" hidden="1">
      <c r="B144" s="27">
        <v>142</v>
      </c>
      <c r="C144" s="24">
        <f t="shared" ca="1" si="14"/>
        <v>7.3479045005270763E-2</v>
      </c>
      <c r="D144" s="24">
        <f t="shared" ca="1" si="15"/>
        <v>4.9873910482064632E-2</v>
      </c>
      <c r="E144" s="24">
        <f t="shared" ca="1" si="16"/>
        <v>7.3539545580207949E-2</v>
      </c>
      <c r="F144" s="25">
        <f ca="1">'Single Simulation'!$AP$4*Results!C144</f>
        <v>139323.32765440483</v>
      </c>
      <c r="G144" s="25">
        <f ca="1">'Single Simulation'!$AP$5*Results!D144</f>
        <v>47173.177751717056</v>
      </c>
      <c r="H144" s="25">
        <f t="shared" ca="1" si="12"/>
        <v>92150.149902687772</v>
      </c>
      <c r="I144" s="25">
        <f t="shared" ca="1" si="13"/>
        <v>6776.6801489917025</v>
      </c>
      <c r="J144" s="25">
        <f ca="1">'Single Simulation'!$AP$7*Results!E144</f>
        <v>1027497.0371022531</v>
      </c>
      <c r="K144" s="28" t="str">
        <f t="shared" ca="1" si="17"/>
        <v>No</v>
      </c>
    </row>
    <row r="145" spans="2:11" ht="11.25" hidden="1">
      <c r="B145" s="27">
        <v>143</v>
      </c>
      <c r="C145" s="24">
        <f t="shared" ca="1" si="14"/>
        <v>6.7160169645470669E-2</v>
      </c>
      <c r="D145" s="24">
        <f t="shared" ca="1" si="15"/>
        <v>5.4438499413389595E-2</v>
      </c>
      <c r="E145" s="24">
        <f t="shared" ca="1" si="16"/>
        <v>5.7413621071681104E-2</v>
      </c>
      <c r="F145" s="25">
        <f ca="1">'Single Simulation'!$AP$4*Results!C145</f>
        <v>127342.13298730452</v>
      </c>
      <c r="G145" s="25">
        <f ca="1">'Single Simulation'!$AP$5*Results!D145</f>
        <v>51490.588657331667</v>
      </c>
      <c r="H145" s="25">
        <f t="shared" ca="1" si="12"/>
        <v>75851.54432997285</v>
      </c>
      <c r="I145" s="25">
        <f t="shared" ca="1" si="13"/>
        <v>4354.9118238628826</v>
      </c>
      <c r="J145" s="25">
        <f ca="1">'Single Simulation'!$AP$7*Results!E145</f>
        <v>802185.07029149635</v>
      </c>
      <c r="K145" s="28" t="str">
        <f t="shared" ca="1" si="17"/>
        <v>No</v>
      </c>
    </row>
    <row r="146" spans="2:11" ht="11.25" hidden="1">
      <c r="B146" s="27">
        <v>144</v>
      </c>
      <c r="C146" s="24">
        <f t="shared" ca="1" si="14"/>
        <v>2.7737658675318744E-2</v>
      </c>
      <c r="D146" s="24">
        <f t="shared" ca="1" si="15"/>
        <v>5.2193459232785518E-2</v>
      </c>
      <c r="E146" s="24">
        <f t="shared" ca="1" si="16"/>
        <v>3.9743362569632318E-2</v>
      </c>
      <c r="F146" s="25">
        <f ca="1">'Single Simulation'!$AP$4*Results!C146</f>
        <v>52593.265300471328</v>
      </c>
      <c r="G146" s="25">
        <f ca="1">'Single Simulation'!$AP$5*Results!D146</f>
        <v>49367.120124871835</v>
      </c>
      <c r="H146" s="25">
        <f t="shared" ca="1" si="12"/>
        <v>3226.1451755994931</v>
      </c>
      <c r="I146" s="25">
        <f t="shared" ca="1" si="13"/>
        <v>128.21785741612078</v>
      </c>
      <c r="J146" s="25">
        <f ca="1">'Single Simulation'!$AP$7*Results!E146</f>
        <v>555295.61629176338</v>
      </c>
      <c r="K146" s="28" t="str">
        <f t="shared" ca="1" si="17"/>
        <v>No</v>
      </c>
    </row>
    <row r="147" spans="2:11" ht="11.25" hidden="1">
      <c r="B147" s="27">
        <v>145</v>
      </c>
      <c r="C147" s="24">
        <f t="shared" ca="1" si="14"/>
        <v>5.0174625084096432E-2</v>
      </c>
      <c r="D147" s="24">
        <f t="shared" ca="1" si="15"/>
        <v>6.6569342966052908E-2</v>
      </c>
      <c r="E147" s="24">
        <f t="shared" ca="1" si="16"/>
        <v>1.243689226653602E-2</v>
      </c>
      <c r="F147" s="25">
        <f ca="1">'Single Simulation'!$AP$4*Results!C147</f>
        <v>95135.908884322693</v>
      </c>
      <c r="G147" s="25">
        <f ca="1">'Single Simulation'!$AP$5*Results!D147</f>
        <v>62964.532321601728</v>
      </c>
      <c r="H147" s="25">
        <f t="shared" ca="1" si="12"/>
        <v>32171.376562720965</v>
      </c>
      <c r="I147" s="25">
        <f t="shared" ca="1" si="13"/>
        <v>400.11194437672253</v>
      </c>
      <c r="J147" s="25">
        <f ca="1">'Single Simulation'!$AP$7*Results!E147</f>
        <v>173768.68260204376</v>
      </c>
      <c r="K147" s="28" t="str">
        <f t="shared" ca="1" si="17"/>
        <v>No</v>
      </c>
    </row>
    <row r="148" spans="2:11" ht="11.25" hidden="1">
      <c r="B148" s="27">
        <v>146</v>
      </c>
      <c r="C148" s="24">
        <f t="shared" ca="1" si="14"/>
        <v>2.6773534444204078E-2</v>
      </c>
      <c r="D148" s="24">
        <f t="shared" ca="1" si="15"/>
        <v>4.9500011723628008E-2</v>
      </c>
      <c r="E148" s="24">
        <f t="shared" ca="1" si="16"/>
        <v>7.1324758774077374E-2</v>
      </c>
      <c r="F148" s="25">
        <f ca="1">'Single Simulation'!$AP$4*Results!C148</f>
        <v>50765.193145457546</v>
      </c>
      <c r="G148" s="25">
        <f ca="1">'Single Simulation'!$AP$5*Results!D148</f>
        <v>46819.52606444421</v>
      </c>
      <c r="H148" s="25">
        <f t="shared" ca="1" si="12"/>
        <v>3945.6670810133364</v>
      </c>
      <c r="I148" s="25">
        <f t="shared" ca="1" si="13"/>
        <v>281.42375275609425</v>
      </c>
      <c r="J148" s="25">
        <f ca="1">'Single Simulation'!$AP$7*Results!E148</f>
        <v>996551.96036622277</v>
      </c>
      <c r="K148" s="28" t="str">
        <f t="shared" ca="1" si="17"/>
        <v>No</v>
      </c>
    </row>
    <row r="149" spans="2:11" ht="11.25" hidden="1">
      <c r="B149" s="27">
        <v>147</v>
      </c>
      <c r="C149" s="24">
        <f t="shared" ca="1" si="14"/>
        <v>4.1639574061127525E-2</v>
      </c>
      <c r="D149" s="24">
        <f t="shared" ca="1" si="15"/>
        <v>4.0647683886980368E-2</v>
      </c>
      <c r="E149" s="24">
        <f t="shared" ca="1" si="16"/>
        <v>-2.8846664062001176E-2</v>
      </c>
      <c r="F149" s="25">
        <f ca="1">'Single Simulation'!$AP$4*Results!C149</f>
        <v>78952.632276211341</v>
      </c>
      <c r="G149" s="25">
        <f ca="1">'Single Simulation'!$AP$5*Results!D149</f>
        <v>38446.562514597361</v>
      </c>
      <c r="H149" s="25">
        <f t="shared" ca="1" si="12"/>
        <v>40506.069761613981</v>
      </c>
      <c r="I149" s="25">
        <f t="shared" ca="1" si="13"/>
        <v>-1168.4649868852625</v>
      </c>
      <c r="J149" s="25">
        <f ca="1">'Single Simulation'!$AP$7*Results!E149</f>
        <v>-403046.57337952562</v>
      </c>
      <c r="K149" s="28" t="str">
        <f t="shared" ca="1" si="17"/>
        <v>No</v>
      </c>
    </row>
    <row r="150" spans="2:11" ht="11.25" hidden="1">
      <c r="B150" s="27">
        <v>148</v>
      </c>
      <c r="C150" s="24">
        <f t="shared" ca="1" si="14"/>
        <v>5.7869163707374528E-2</v>
      </c>
      <c r="D150" s="24">
        <f t="shared" ca="1" si="15"/>
        <v>0.02</v>
      </c>
      <c r="E150" s="24">
        <f t="shared" ca="1" si="16"/>
        <v>2.8786141377278189E-2</v>
      </c>
      <c r="F150" s="25">
        <f ca="1">'Single Simulation'!$AP$4*Results!C150</f>
        <v>109725.49324383022</v>
      </c>
      <c r="G150" s="25">
        <f ca="1">'Single Simulation'!$AP$5*Results!D150</f>
        <v>18916.975747743385</v>
      </c>
      <c r="H150" s="25">
        <f t="shared" ca="1" si="12"/>
        <v>90808.517496086832</v>
      </c>
      <c r="I150" s="25">
        <f t="shared" ca="1" si="13"/>
        <v>2614.0268229033954</v>
      </c>
      <c r="J150" s="25">
        <f ca="1">'Single Simulation'!$AP$7*Results!E150</f>
        <v>402200.94836594001</v>
      </c>
      <c r="K150" s="28" t="str">
        <f t="shared" ca="1" si="17"/>
        <v>No</v>
      </c>
    </row>
    <row r="151" spans="2:11" ht="11.25" hidden="1">
      <c r="B151" s="27">
        <v>149</v>
      </c>
      <c r="C151" s="24">
        <f t="shared" ca="1" si="14"/>
        <v>3.7595752908738664E-2</v>
      </c>
      <c r="D151" s="24">
        <f t="shared" ca="1" si="15"/>
        <v>2.8872339062196745E-2</v>
      </c>
      <c r="E151" s="24">
        <f t="shared" ca="1" si="16"/>
        <v>8.0315043819291693E-2</v>
      </c>
      <c r="F151" s="25">
        <f ca="1">'Single Simulation'!$AP$4*Results!C151</f>
        <v>71285.158925820448</v>
      </c>
      <c r="G151" s="25">
        <f ca="1">'Single Simulation'!$AP$5*Results!D151</f>
        <v>27308.866891009988</v>
      </c>
      <c r="H151" s="25">
        <f t="shared" ca="1" si="12"/>
        <v>43976.29203481046</v>
      </c>
      <c r="I151" s="25">
        <f t="shared" ca="1" si="13"/>
        <v>3531.9578217857702</v>
      </c>
      <c r="J151" s="25">
        <f ca="1">'Single Simulation'!$AP$7*Results!E151</f>
        <v>1122164.5294102794</v>
      </c>
      <c r="K151" s="28" t="str">
        <f t="shared" ca="1" si="17"/>
        <v>No</v>
      </c>
    </row>
    <row r="152" spans="2:11" ht="11.25" hidden="1">
      <c r="B152" s="27">
        <v>150</v>
      </c>
      <c r="C152" s="24">
        <f t="shared" ca="1" si="14"/>
        <v>9.5370180701386892E-2</v>
      </c>
      <c r="D152" s="24">
        <f t="shared" ca="1" si="15"/>
        <v>6.6413841443958316E-2</v>
      </c>
      <c r="E152" s="24">
        <f t="shared" ca="1" si="16"/>
        <v>6.3605584958041805E-2</v>
      </c>
      <c r="F152" s="25">
        <f ca="1">'Single Simulation'!$AP$4*Results!C152</f>
        <v>180831.02377509131</v>
      </c>
      <c r="G152" s="25">
        <f ca="1">'Single Simulation'!$AP$5*Results!D152</f>
        <v>62817.451395491698</v>
      </c>
      <c r="H152" s="25">
        <f t="shared" ca="1" si="12"/>
        <v>118013.57237959962</v>
      </c>
      <c r="I152" s="25">
        <f t="shared" ca="1" si="13"/>
        <v>7506.3223041926394</v>
      </c>
      <c r="J152" s="25">
        <f ca="1">'Single Simulation'!$AP$7*Results!E152</f>
        <v>888699.40073620435</v>
      </c>
      <c r="K152" s="28" t="str">
        <f t="shared" ca="1" si="17"/>
        <v>No</v>
      </c>
    </row>
    <row r="153" spans="2:11" ht="11.25" hidden="1">
      <c r="B153" s="27">
        <v>151</v>
      </c>
      <c r="C153" s="24">
        <f t="shared" ca="1" si="14"/>
        <v>2.5228823981980973E-2</v>
      </c>
      <c r="D153" s="24">
        <f t="shared" ca="1" si="15"/>
        <v>6.6862492478099417E-2</v>
      </c>
      <c r="E153" s="24">
        <f t="shared" ca="1" si="16"/>
        <v>0.12482721453953946</v>
      </c>
      <c r="F153" s="25">
        <f ca="1">'Single Simulation'!$AP$4*Results!C153</f>
        <v>47836.273725722858</v>
      </c>
      <c r="G153" s="25">
        <f ca="1">'Single Simulation'!$AP$5*Results!D153</f>
        <v>63241.807432094058</v>
      </c>
      <c r="H153" s="25">
        <f t="shared" ca="1" si="12"/>
        <v>-15405.5337063712</v>
      </c>
      <c r="I153" s="25">
        <f t="shared" ca="1" si="13"/>
        <v>-1923.0298610613042</v>
      </c>
      <c r="J153" s="25">
        <f ca="1">'Single Simulation'!$AP$7*Results!E153</f>
        <v>1744090.095705231</v>
      </c>
      <c r="K153" s="28" t="str">
        <f t="shared" ca="1" si="17"/>
        <v>No</v>
      </c>
    </row>
    <row r="154" spans="2:11" ht="11.25" hidden="1">
      <c r="B154" s="27">
        <v>152</v>
      </c>
      <c r="C154" s="24">
        <f t="shared" ca="1" si="14"/>
        <v>5.0000960612364101E-2</v>
      </c>
      <c r="D154" s="24">
        <f t="shared" ca="1" si="15"/>
        <v>7.6016548387975613E-2</v>
      </c>
      <c r="E154" s="24">
        <f t="shared" ca="1" si="16"/>
        <v>0.1084930275625568</v>
      </c>
      <c r="F154" s="25">
        <f ca="1">'Single Simulation'!$AP$4*Results!C154</f>
        <v>94806.62436388075</v>
      </c>
      <c r="G154" s="25">
        <f ca="1">'Single Simulation'!$AP$5*Results!D154</f>
        <v>71900.16011412481</v>
      </c>
      <c r="H154" s="25">
        <f t="shared" ca="1" si="12"/>
        <v>22906.46424975594</v>
      </c>
      <c r="I154" s="25">
        <f t="shared" ca="1" si="13"/>
        <v>2485.1916572094933</v>
      </c>
      <c r="J154" s="25">
        <f ca="1">'Single Simulation'!$AP$7*Results!E154</f>
        <v>1515868.2785875457</v>
      </c>
      <c r="K154" s="28" t="str">
        <f t="shared" ca="1" si="17"/>
        <v>No</v>
      </c>
    </row>
    <row r="155" spans="2:11" ht="11.25" hidden="1">
      <c r="B155" s="27">
        <v>153</v>
      </c>
      <c r="C155" s="24">
        <f t="shared" ca="1" si="14"/>
        <v>6.6539903905546469E-2</v>
      </c>
      <c r="D155" s="24">
        <f t="shared" ca="1" si="15"/>
        <v>4.4551862047787716E-2</v>
      </c>
      <c r="E155" s="24">
        <f t="shared" ca="1" si="16"/>
        <v>8.8622552368887358E-2</v>
      </c>
      <c r="F155" s="25">
        <f ca="1">'Single Simulation'!$AP$4*Results!C155</f>
        <v>126166.04956229453</v>
      </c>
      <c r="G155" s="25">
        <f ca="1">'Single Simulation'!$AP$5*Results!D155</f>
        <v>42139.324693740455</v>
      </c>
      <c r="H155" s="25">
        <f t="shared" ca="1" si="12"/>
        <v>84026.724868554069</v>
      </c>
      <c r="I155" s="25">
        <f t="shared" ca="1" si="13"/>
        <v>7446.6628250495223</v>
      </c>
      <c r="J155" s="25">
        <f ca="1">'Single Simulation'!$AP$7*Results!E155</f>
        <v>1238237.3219882702</v>
      </c>
      <c r="K155" s="28" t="str">
        <f t="shared" ca="1" si="17"/>
        <v>No</v>
      </c>
    </row>
    <row r="156" spans="2:11" ht="11.25" hidden="1">
      <c r="B156" s="27">
        <v>154</v>
      </c>
      <c r="C156" s="24">
        <f t="shared" ca="1" si="14"/>
        <v>8.9714306095798335E-2</v>
      </c>
      <c r="D156" s="24">
        <f t="shared" ca="1" si="15"/>
        <v>2.3063850340317171E-2</v>
      </c>
      <c r="E156" s="24">
        <f t="shared" ca="1" si="16"/>
        <v>2.8547198075078668E-2</v>
      </c>
      <c r="F156" s="25">
        <f ca="1">'Single Simulation'!$AP$4*Results!C156</f>
        <v>170106.94222517297</v>
      </c>
      <c r="G156" s="25">
        <f ca="1">'Single Simulation'!$AP$5*Results!D156</f>
        <v>21814.914876868144</v>
      </c>
      <c r="H156" s="25">
        <f t="shared" ca="1" si="12"/>
        <v>148292.02734830484</v>
      </c>
      <c r="I156" s="25">
        <f t="shared" ca="1" si="13"/>
        <v>4233.321877667041</v>
      </c>
      <c r="J156" s="25">
        <f ca="1">'Single Simulation'!$AP$7*Results!E156</f>
        <v>398862.42440433003</v>
      </c>
      <c r="K156" s="28" t="str">
        <f t="shared" ca="1" si="17"/>
        <v>No</v>
      </c>
    </row>
    <row r="157" spans="2:11" ht="11.25" hidden="1">
      <c r="B157" s="27">
        <v>155</v>
      </c>
      <c r="C157" s="24">
        <f t="shared" ca="1" si="14"/>
        <v>5.5787728963657635E-2</v>
      </c>
      <c r="D157" s="24">
        <f t="shared" ca="1" si="15"/>
        <v>4.1246383483438641E-2</v>
      </c>
      <c r="E157" s="24">
        <f t="shared" ca="1" si="16"/>
        <v>1.8836319741378379E-2</v>
      </c>
      <c r="F157" s="25">
        <f ca="1">'Single Simulation'!$AP$4*Results!C157</f>
        <v>105778.8930291795</v>
      </c>
      <c r="G157" s="25">
        <f ca="1">'Single Simulation'!$AP$5*Results!D157</f>
        <v>39012.841801916606</v>
      </c>
      <c r="H157" s="25">
        <f t="shared" ca="1" si="12"/>
        <v>66766.051227262884</v>
      </c>
      <c r="I157" s="25">
        <f t="shared" ca="1" si="13"/>
        <v>1257.626688785972</v>
      </c>
      <c r="J157" s="25">
        <f ca="1">'Single Simulation'!$AP$7*Results!E157</f>
        <v>263181.70137545519</v>
      </c>
      <c r="K157" s="28" t="str">
        <f t="shared" ca="1" si="17"/>
        <v>No</v>
      </c>
    </row>
    <row r="158" spans="2:11" ht="11.25" hidden="1">
      <c r="B158" s="27">
        <v>156</v>
      </c>
      <c r="C158" s="24">
        <f t="shared" ca="1" si="14"/>
        <v>7.7271226427425843E-2</v>
      </c>
      <c r="D158" s="24">
        <f t="shared" ca="1" si="15"/>
        <v>3.9197607770931377E-2</v>
      </c>
      <c r="E158" s="24">
        <f t="shared" ca="1" si="16"/>
        <v>0.13602732227758807</v>
      </c>
      <c r="F158" s="25">
        <f ca="1">'Single Simulation'!$AP$4*Results!C158</f>
        <v>146513.66790400879</v>
      </c>
      <c r="G158" s="25">
        <f ca="1">'Single Simulation'!$AP$5*Results!D158</f>
        <v>37075.009778613326</v>
      </c>
      <c r="H158" s="25">
        <f t="shared" ca="1" si="12"/>
        <v>109438.65812539546</v>
      </c>
      <c r="I158" s="25">
        <f t="shared" ca="1" si="13"/>
        <v>14886.647618449952</v>
      </c>
      <c r="J158" s="25">
        <f ca="1">'Single Simulation'!$AP$7*Results!E158</f>
        <v>1900578.3827251631</v>
      </c>
      <c r="K158" s="28" t="str">
        <f t="shared" ca="1" si="17"/>
        <v>No</v>
      </c>
    </row>
    <row r="159" spans="2:11" ht="11.25" hidden="1">
      <c r="B159" s="27">
        <v>157</v>
      </c>
      <c r="C159" s="24">
        <f t="shared" ca="1" si="14"/>
        <v>6.2229082249160142E-2</v>
      </c>
      <c r="D159" s="24">
        <f t="shared" ca="1" si="15"/>
        <v>3.6624860758555339E-2</v>
      </c>
      <c r="E159" s="24">
        <f t="shared" ca="1" si="16"/>
        <v>0.10438511104090034</v>
      </c>
      <c r="F159" s="25">
        <f ca="1">'Single Simulation'!$AP$4*Results!C159</f>
        <v>117992.31760852002</v>
      </c>
      <c r="G159" s="25">
        <f ca="1">'Single Simulation'!$AP$5*Results!D159</f>
        <v>34641.580136703487</v>
      </c>
      <c r="H159" s="25">
        <f t="shared" ca="1" si="12"/>
        <v>83350.737471816537</v>
      </c>
      <c r="I159" s="25">
        <f t="shared" ca="1" si="13"/>
        <v>8700.575986336502</v>
      </c>
      <c r="J159" s="25">
        <f ca="1">'Single Simulation'!$AP$7*Results!E159</f>
        <v>1458472.3289476098</v>
      </c>
      <c r="K159" s="28" t="str">
        <f t="shared" ca="1" si="17"/>
        <v>No</v>
      </c>
    </row>
    <row r="160" spans="2:11" ht="11.25" hidden="1">
      <c r="B160" s="27">
        <v>158</v>
      </c>
      <c r="C160" s="24">
        <f t="shared" ca="1" si="14"/>
        <v>6.2406435124097291E-2</v>
      </c>
      <c r="D160" s="24">
        <f t="shared" ca="1" si="15"/>
        <v>3.8191163453484271E-2</v>
      </c>
      <c r="E160" s="24">
        <f t="shared" ca="1" si="16"/>
        <v>6.1431896245310452E-2</v>
      </c>
      <c r="F160" s="25">
        <f ca="1">'Single Simulation'!$AP$4*Results!C160</f>
        <v>118328.59569574268</v>
      </c>
      <c r="G160" s="25">
        <f ca="1">'Single Simulation'!$AP$5*Results!D160</f>
        <v>36123.065641383269</v>
      </c>
      <c r="H160" s="25">
        <f t="shared" ca="1" si="12"/>
        <v>82205.530054359406</v>
      </c>
      <c r="I160" s="25">
        <f t="shared" ca="1" si="13"/>
        <v>5050.0415930901572</v>
      </c>
      <c r="J160" s="25">
        <f ca="1">'Single Simulation'!$AP$7*Results!E160</f>
        <v>858328.54796178662</v>
      </c>
      <c r="K160" s="28" t="str">
        <f t="shared" ca="1" si="17"/>
        <v>No</v>
      </c>
    </row>
    <row r="161" spans="2:11" ht="11.25" hidden="1">
      <c r="B161" s="27">
        <v>159</v>
      </c>
      <c r="C161" s="24">
        <f t="shared" ca="1" si="14"/>
        <v>5.0773728194803788E-2</v>
      </c>
      <c r="D161" s="24">
        <f t="shared" ca="1" si="15"/>
        <v>5.0530777359548813E-2</v>
      </c>
      <c r="E161" s="24">
        <f t="shared" ca="1" si="16"/>
        <v>0.10727749894957259</v>
      </c>
      <c r="F161" s="25">
        <f ca="1">'Single Simulation'!$AP$4*Results!C161</f>
        <v>96271.865931476306</v>
      </c>
      <c r="G161" s="25">
        <f ca="1">'Single Simulation'!$AP$5*Results!D161</f>
        <v>47794.474491260269</v>
      </c>
      <c r="H161" s="25">
        <f t="shared" ca="1" si="12"/>
        <v>48477.391440216037</v>
      </c>
      <c r="I161" s="25">
        <f t="shared" ca="1" si="13"/>
        <v>5200.5333093057952</v>
      </c>
      <c r="J161" s="25">
        <f ca="1">'Single Simulation'!$AP$7*Results!E161</f>
        <v>1498884.8713812546</v>
      </c>
      <c r="K161" s="28" t="str">
        <f t="shared" ca="1" si="17"/>
        <v>No</v>
      </c>
    </row>
    <row r="162" spans="2:11" ht="11.25" hidden="1">
      <c r="B162" s="27">
        <v>160</v>
      </c>
      <c r="C162" s="24">
        <f t="shared" ca="1" si="14"/>
        <v>0.02</v>
      </c>
      <c r="D162" s="24">
        <f t="shared" ca="1" si="15"/>
        <v>3.1662296964849526E-2</v>
      </c>
      <c r="E162" s="24">
        <f t="shared" ca="1" si="16"/>
        <v>0.11709522494315169</v>
      </c>
      <c r="F162" s="25">
        <f ca="1">'Single Simulation'!$AP$4*Results!C162</f>
        <v>37921.921180225181</v>
      </c>
      <c r="G162" s="25">
        <f ca="1">'Single Simulation'!$AP$5*Results!D162</f>
        <v>29947.745190095371</v>
      </c>
      <c r="H162" s="25">
        <f t="shared" ca="1" si="12"/>
        <v>7974.1759901298101</v>
      </c>
      <c r="I162" s="25">
        <f t="shared" ca="1" si="13"/>
        <v>933.73793130052945</v>
      </c>
      <c r="J162" s="25">
        <f ca="1">'Single Simulation'!$AP$7*Results!E162</f>
        <v>1636058.4735553649</v>
      </c>
      <c r="K162" s="28" t="str">
        <f t="shared" ca="1" si="17"/>
        <v>No</v>
      </c>
    </row>
    <row r="163" spans="2:11" ht="11.25" hidden="1">
      <c r="B163" s="27">
        <v>161</v>
      </c>
      <c r="C163" s="24">
        <f t="shared" ca="1" si="14"/>
        <v>5.7264513872820708E-2</v>
      </c>
      <c r="D163" s="24">
        <f t="shared" ca="1" si="15"/>
        <v>6.5047615145745946E-2</v>
      </c>
      <c r="E163" s="24">
        <f t="shared" ca="1" si="16"/>
        <v>8.8356522386556446E-2</v>
      </c>
      <c r="F163" s="25">
        <f ca="1">'Single Simulation'!$AP$4*Results!C163</f>
        <v>108579.01907545091</v>
      </c>
      <c r="G163" s="25">
        <f ca="1">'Single Simulation'!$AP$5*Results!D163</f>
        <v>61525.207908031065</v>
      </c>
      <c r="H163" s="25">
        <f t="shared" ca="1" si="12"/>
        <v>47053.811167419844</v>
      </c>
      <c r="I163" s="25">
        <f t="shared" ca="1" si="13"/>
        <v>4157.511119786931</v>
      </c>
      <c r="J163" s="25">
        <f ca="1">'Single Simulation'!$AP$7*Results!E163</f>
        <v>1234520.3420087399</v>
      </c>
      <c r="K163" s="28" t="str">
        <f t="shared" ca="1" si="17"/>
        <v>No</v>
      </c>
    </row>
    <row r="164" spans="2:11" ht="11.25" hidden="1">
      <c r="B164" s="27">
        <v>162</v>
      </c>
      <c r="C164" s="24">
        <f t="shared" ca="1" si="14"/>
        <v>8.737320825815402E-2</v>
      </c>
      <c r="D164" s="24">
        <f t="shared" ca="1" si="15"/>
        <v>6.0341728363104648E-2</v>
      </c>
      <c r="E164" s="24">
        <f t="shared" ca="1" si="16"/>
        <v>3.7768280286096169E-2</v>
      </c>
      <c r="F164" s="25">
        <f ca="1">'Single Simulation'!$AP$4*Results!C164</f>
        <v>165667.99584145582</v>
      </c>
      <c r="G164" s="25">
        <f ca="1">'Single Simulation'!$AP$5*Results!D164</f>
        <v>57074.150601088484</v>
      </c>
      <c r="H164" s="25">
        <f t="shared" ca="1" si="12"/>
        <v>108593.84524036734</v>
      </c>
      <c r="I164" s="25">
        <f t="shared" ca="1" si="13"/>
        <v>4101.4027843831445</v>
      </c>
      <c r="J164" s="25">
        <f ca="1">'Single Simulation'!$AP$7*Results!E164</f>
        <v>527699.6993146434</v>
      </c>
      <c r="K164" s="28" t="str">
        <f t="shared" ca="1" si="17"/>
        <v>No</v>
      </c>
    </row>
    <row r="165" spans="2:11" ht="11.25" hidden="1">
      <c r="B165" s="27">
        <v>163</v>
      </c>
      <c r="C165" s="24">
        <f t="shared" ca="1" si="14"/>
        <v>7.1536928238838796E-2</v>
      </c>
      <c r="D165" s="24">
        <f t="shared" ca="1" si="15"/>
        <v>6.9318461638388604E-2</v>
      </c>
      <c r="E165" s="24">
        <f t="shared" ca="1" si="16"/>
        <v>3.1307629718230756E-2</v>
      </c>
      <c r="F165" s="25">
        <f ca="1">'Single Simulation'!$AP$4*Results!C165</f>
        <v>135640.88770743349</v>
      </c>
      <c r="G165" s="25">
        <f ca="1">'Single Simulation'!$AP$5*Results!D165</f>
        <v>65564.78288421387</v>
      </c>
      <c r="H165" s="25">
        <f t="shared" ca="1" si="12"/>
        <v>70076.104823219619</v>
      </c>
      <c r="I165" s="25">
        <f t="shared" ca="1" si="13"/>
        <v>2193.9167419012842</v>
      </c>
      <c r="J165" s="25">
        <f ca="1">'Single Simulation'!$AP$7*Results!E165</f>
        <v>437431.26939900767</v>
      </c>
      <c r="K165" s="28" t="str">
        <f t="shared" ca="1" si="17"/>
        <v>No</v>
      </c>
    </row>
    <row r="166" spans="2:11" ht="11.25" hidden="1">
      <c r="B166" s="27">
        <v>164</v>
      </c>
      <c r="C166" s="24">
        <f t="shared" ca="1" si="14"/>
        <v>6.0989916665137554E-2</v>
      </c>
      <c r="D166" s="24">
        <f t="shared" ca="1" si="15"/>
        <v>5.9183420017424E-2</v>
      </c>
      <c r="E166" s="24">
        <f t="shared" ca="1" si="16"/>
        <v>5.0133041504360723E-2</v>
      </c>
      <c r="F166" s="25">
        <f ca="1">'Single Simulation'!$AP$4*Results!C166</f>
        <v>115642.74062819242</v>
      </c>
      <c r="G166" s="25">
        <f ca="1">'Single Simulation'!$AP$5*Results!D166</f>
        <v>55978.566056906006</v>
      </c>
      <c r="H166" s="25">
        <f t="shared" ca="1" si="12"/>
        <v>59664.174571286414</v>
      </c>
      <c r="I166" s="25">
        <f t="shared" ca="1" si="13"/>
        <v>2991.1465401057253</v>
      </c>
      <c r="J166" s="25">
        <f ca="1">'Single Simulation'!$AP$7*Results!E166</f>
        <v>700460.56445198483</v>
      </c>
      <c r="K166" s="28" t="str">
        <f t="shared" ca="1" si="17"/>
        <v>No</v>
      </c>
    </row>
    <row r="167" spans="2:11" ht="11.25" hidden="1">
      <c r="B167" s="27">
        <v>165</v>
      </c>
      <c r="C167" s="24">
        <f t="shared" ca="1" si="14"/>
        <v>0.02</v>
      </c>
      <c r="D167" s="24">
        <f t="shared" ca="1" si="15"/>
        <v>6.9706010020979481E-2</v>
      </c>
      <c r="E167" s="24">
        <f t="shared" ca="1" si="16"/>
        <v>7.8554636741528419E-2</v>
      </c>
      <c r="F167" s="25">
        <f ca="1">'Single Simulation'!$AP$4*Results!C167</f>
        <v>37921.921180225181</v>
      </c>
      <c r="G167" s="25">
        <f ca="1">'Single Simulation'!$AP$5*Results!D167</f>
        <v>65931.345051941302</v>
      </c>
      <c r="H167" s="25">
        <f t="shared" ref="H167:H178" ca="1" si="18">F167-G167</f>
        <v>-28009.423871716121</v>
      </c>
      <c r="I167" s="25">
        <f t="shared" ref="I167:I178" ca="1" si="19">H167*E167</f>
        <v>-2200.2701175821544</v>
      </c>
      <c r="J167" s="25">
        <f ca="1">'Single Simulation'!$AP$7*Results!E167</f>
        <v>1097568.0617244304</v>
      </c>
      <c r="K167" s="28" t="str">
        <f t="shared" ca="1" si="17"/>
        <v>No</v>
      </c>
    </row>
    <row r="168" spans="2:11" ht="11.25" hidden="1">
      <c r="B168" s="27">
        <v>166</v>
      </c>
      <c r="C168" s="24">
        <f t="shared" ca="1" si="14"/>
        <v>7.8818724459655459E-2</v>
      </c>
      <c r="D168" s="24">
        <f t="shared" ca="1" si="15"/>
        <v>5.4933402995941141E-2</v>
      </c>
      <c r="E168" s="24">
        <f t="shared" ca="1" si="16"/>
        <v>0.13568597317914791</v>
      </c>
      <c r="F168" s="25">
        <f ca="1">'Single Simulation'!$AP$4*Results!C168</f>
        <v>149447.87282424702</v>
      </c>
      <c r="G168" s="25">
        <f ca="1">'Single Simulation'!$AP$5*Results!D168</f>
        <v>51958.692610761616</v>
      </c>
      <c r="H168" s="25">
        <f t="shared" ca="1" si="18"/>
        <v>97489.180213485408</v>
      </c>
      <c r="I168" s="25">
        <f t="shared" ca="1" si="19"/>
        <v>13227.914291704097</v>
      </c>
      <c r="J168" s="25">
        <f ca="1">'Single Simulation'!$AP$7*Results!E168</f>
        <v>1895809.0414884505</v>
      </c>
      <c r="K168" s="28" t="str">
        <f t="shared" ca="1" si="17"/>
        <v>No</v>
      </c>
    </row>
    <row r="169" spans="2:11" ht="11.25" hidden="1">
      <c r="B169" s="27">
        <v>167</v>
      </c>
      <c r="C169" s="24">
        <f t="shared" ca="1" si="14"/>
        <v>5.9008037908284246E-2</v>
      </c>
      <c r="D169" s="24">
        <f t="shared" ca="1" si="15"/>
        <v>4.0398937505365121E-2</v>
      </c>
      <c r="E169" s="24">
        <f t="shared" ca="1" si="16"/>
        <v>2.8703289665468347E-2</v>
      </c>
      <c r="F169" s="25">
        <f ca="1">'Single Simulation'!$AP$4*Results!C169</f>
        <v>111884.90812788473</v>
      </c>
      <c r="G169" s="25">
        <f ca="1">'Single Simulation'!$AP$5*Results!D169</f>
        <v>38211.286051179632</v>
      </c>
      <c r="H169" s="25">
        <f t="shared" ca="1" si="18"/>
        <v>73673.622076705098</v>
      </c>
      <c r="I169" s="25">
        <f t="shared" ca="1" si="19"/>
        <v>2114.6753151719099</v>
      </c>
      <c r="J169" s="25">
        <f ca="1">'Single Simulation'!$AP$7*Results!E169</f>
        <v>401043.34142491518</v>
      </c>
      <c r="K169" s="28" t="str">
        <f t="shared" ca="1" si="17"/>
        <v>No</v>
      </c>
    </row>
    <row r="170" spans="2:11" ht="11.25" hidden="1">
      <c r="B170" s="27">
        <v>168</v>
      </c>
      <c r="C170" s="24">
        <f t="shared" ca="1" si="14"/>
        <v>6.0690233823939628E-2</v>
      </c>
      <c r="D170" s="24">
        <f t="shared" ca="1" si="15"/>
        <v>4.0015887947524607E-2</v>
      </c>
      <c r="E170" s="24">
        <f t="shared" ca="1" si="16"/>
        <v>6.7340247285159499E-2</v>
      </c>
      <c r="F170" s="25">
        <f ca="1">'Single Simulation'!$AP$4*Results!C170</f>
        <v>115074.51317404374</v>
      </c>
      <c r="G170" s="25">
        <f ca="1">'Single Simulation'!$AP$5*Results!D170</f>
        <v>37848.979091386987</v>
      </c>
      <c r="H170" s="25">
        <f t="shared" ca="1" si="18"/>
        <v>77225.534082656755</v>
      </c>
      <c r="I170" s="25">
        <f t="shared" ca="1" si="19"/>
        <v>5200.3865618546188</v>
      </c>
      <c r="J170" s="25">
        <f ca="1">'Single Simulation'!$AP$7*Results!E170</f>
        <v>940880.23004940047</v>
      </c>
      <c r="K170" s="28" t="str">
        <f t="shared" ca="1" si="17"/>
        <v>No</v>
      </c>
    </row>
    <row r="171" spans="2:11" ht="11.25" hidden="1">
      <c r="B171" s="27">
        <v>169</v>
      </c>
      <c r="C171" s="24">
        <f t="shared" ca="1" si="14"/>
        <v>6.0675697910014842E-2</v>
      </c>
      <c r="D171" s="24">
        <f t="shared" ca="1" si="15"/>
        <v>7.2023385995888756E-2</v>
      </c>
      <c r="E171" s="24">
        <f t="shared" ca="1" si="16"/>
        <v>6.4134849284449541E-2</v>
      </c>
      <c r="F171" s="25">
        <f ca="1">'Single Simulation'!$AP$4*Results!C171</f>
        <v>115046.95168493682</v>
      </c>
      <c r="G171" s="25">
        <f ca="1">'Single Simulation'!$AP$5*Results!D171</f>
        <v>68123.232307729399</v>
      </c>
      <c r="H171" s="25">
        <f t="shared" ca="1" si="18"/>
        <v>46923.719377207424</v>
      </c>
      <c r="I171" s="25">
        <f t="shared" ca="1" si="19"/>
        <v>3009.4456701230029</v>
      </c>
      <c r="J171" s="25">
        <f ca="1">'Single Simulation'!$AP$7*Results!E171</f>
        <v>896094.29994230205</v>
      </c>
      <c r="K171" s="28" t="str">
        <f t="shared" ca="1" si="17"/>
        <v>No</v>
      </c>
    </row>
    <row r="172" spans="2:11" ht="11.25" hidden="1">
      <c r="B172" s="27">
        <v>170</v>
      </c>
      <c r="C172" s="24">
        <f t="shared" ca="1" si="14"/>
        <v>6.7275229673403505E-2</v>
      </c>
      <c r="D172" s="24">
        <f t="shared" ca="1" si="15"/>
        <v>4.7610710198756352E-2</v>
      </c>
      <c r="E172" s="24">
        <f t="shared" ca="1" si="16"/>
        <v>8.7191166009909754E-2</v>
      </c>
      <c r="F172" s="25">
        <f ca="1">'Single Simulation'!$AP$4*Results!C172</f>
        <v>127560.29785281769</v>
      </c>
      <c r="G172" s="25">
        <f ca="1">'Single Simulation'!$AP$5*Results!D172</f>
        <v>45032.532508135628</v>
      </c>
      <c r="H172" s="25">
        <f t="shared" ca="1" si="18"/>
        <v>82527.765344682062</v>
      </c>
      <c r="I172" s="25">
        <f t="shared" ca="1" si="19"/>
        <v>7195.6920885950503</v>
      </c>
      <c r="J172" s="25">
        <f ca="1">'Single Simulation'!$AP$7*Results!E172</f>
        <v>1218237.9429984454</v>
      </c>
      <c r="K172" s="28" t="str">
        <f t="shared" ca="1" si="17"/>
        <v>No</v>
      </c>
    </row>
    <row r="173" spans="2:11" ht="11.25" hidden="1">
      <c r="B173" s="27">
        <v>171</v>
      </c>
      <c r="C173" s="24">
        <f t="shared" ca="1" si="14"/>
        <v>4.1974131172376312E-2</v>
      </c>
      <c r="D173" s="24">
        <f t="shared" ca="1" si="15"/>
        <v>2.963128631135006E-2</v>
      </c>
      <c r="E173" s="24">
        <f t="shared" ca="1" si="16"/>
        <v>3.7741051187923307E-2</v>
      </c>
      <c r="F173" s="25">
        <f ca="1">'Single Simulation'!$AP$4*Results!C173</f>
        <v>79586.98469636435</v>
      </c>
      <c r="G173" s="25">
        <f ca="1">'Single Simulation'!$AP$5*Results!D173</f>
        <v>28026.716226312481</v>
      </c>
      <c r="H173" s="25">
        <f t="shared" ca="1" si="18"/>
        <v>51560.268470051873</v>
      </c>
      <c r="I173" s="25">
        <f t="shared" ca="1" si="19"/>
        <v>1945.9387315912959</v>
      </c>
      <c r="J173" s="25">
        <f ca="1">'Single Simulation'!$AP$7*Results!E173</f>
        <v>527319.2534269942</v>
      </c>
      <c r="K173" s="28" t="str">
        <f t="shared" ca="1" si="17"/>
        <v>No</v>
      </c>
    </row>
    <row r="174" spans="2:11" ht="11.25" hidden="1">
      <c r="B174" s="27">
        <v>172</v>
      </c>
      <c r="C174" s="24">
        <f t="shared" ca="1" si="14"/>
        <v>5.1681543633134153E-2</v>
      </c>
      <c r="D174" s="24">
        <f t="shared" ca="1" si="15"/>
        <v>4.5901606333908967E-2</v>
      </c>
      <c r="E174" s="24">
        <f t="shared" ca="1" si="16"/>
        <v>6.8866966951215511E-2</v>
      </c>
      <c r="F174" s="25">
        <f ca="1">'Single Simulation'!$AP$4*Results!C174</f>
        <v>97993.171206404091</v>
      </c>
      <c r="G174" s="25">
        <f ca="1">'Single Simulation'!$AP$5*Results!D174</f>
        <v>43415.978690051001</v>
      </c>
      <c r="H174" s="25">
        <f t="shared" ca="1" si="18"/>
        <v>54577.19251635309</v>
      </c>
      <c r="I174" s="25">
        <f t="shared" ca="1" si="19"/>
        <v>3758.5657133138147</v>
      </c>
      <c r="J174" s="25">
        <f ca="1">'Single Simulation'!$AP$7*Results!E174</f>
        <v>962211.60925471992</v>
      </c>
      <c r="K174" s="28" t="str">
        <f t="shared" ca="1" si="17"/>
        <v>No</v>
      </c>
    </row>
    <row r="175" spans="2:11" ht="11.25" hidden="1">
      <c r="B175" s="27">
        <v>173</v>
      </c>
      <c r="C175" s="24">
        <f t="shared" ca="1" si="14"/>
        <v>5.5335725596999681E-2</v>
      </c>
      <c r="D175" s="24">
        <f t="shared" ca="1" si="15"/>
        <v>7.3526241488701405E-2</v>
      </c>
      <c r="E175" s="24">
        <f t="shared" ca="1" si="16"/>
        <v>0.15656316954045349</v>
      </c>
      <c r="F175" s="25">
        <f ca="1">'Single Simulation'!$AP$4*Results!C175</f>
        <v>104921.85122699954</v>
      </c>
      <c r="G175" s="25">
        <f ca="1">'Single Simulation'!$AP$5*Results!D175</f>
        <v>69544.706353224392</v>
      </c>
      <c r="H175" s="25">
        <f t="shared" ca="1" si="18"/>
        <v>35377.144873775149</v>
      </c>
      <c r="I175" s="25">
        <f t="shared" ca="1" si="19"/>
        <v>5538.7579307300439</v>
      </c>
      <c r="J175" s="25">
        <f ca="1">'Single Simulation'!$AP$7*Results!E175</f>
        <v>2187505.9405513774</v>
      </c>
      <c r="K175" s="28" t="str">
        <f t="shared" ca="1" si="17"/>
        <v>No</v>
      </c>
    </row>
    <row r="176" spans="2:11" ht="11.25" hidden="1">
      <c r="B176" s="27">
        <v>174</v>
      </c>
      <c r="C176" s="24">
        <f t="shared" ca="1" si="14"/>
        <v>8.0261468899427632E-2</v>
      </c>
      <c r="D176" s="24">
        <f t="shared" ca="1" si="15"/>
        <v>6.5883388539631493E-2</v>
      </c>
      <c r="E176" s="24">
        <f t="shared" ca="1" si="16"/>
        <v>6.7737955627874546E-2</v>
      </c>
      <c r="F176" s="25">
        <f ca="1">'Single Simulation'!$AP$4*Results!C176</f>
        <v>152183.45487065945</v>
      </c>
      <c r="G176" s="25">
        <f ca="1">'Single Simulation'!$AP$5*Results!D176</f>
        <v>62315.72315916817</v>
      </c>
      <c r="H176" s="25">
        <f t="shared" ca="1" si="18"/>
        <v>89867.731711491273</v>
      </c>
      <c r="I176" s="25">
        <f t="shared" ca="1" si="19"/>
        <v>6087.4564230507303</v>
      </c>
      <c r="J176" s="25">
        <f ca="1">'Single Simulation'!$AP$7*Results!E176</f>
        <v>946437.02456786612</v>
      </c>
      <c r="K176" s="28" t="str">
        <f t="shared" ca="1" si="17"/>
        <v>No</v>
      </c>
    </row>
    <row r="177" spans="2:11" ht="11.25" hidden="1">
      <c r="B177" s="27">
        <v>175</v>
      </c>
      <c r="C177" s="24">
        <f t="shared" ca="1" si="14"/>
        <v>4.9327407104288151E-2</v>
      </c>
      <c r="D177" s="24">
        <f t="shared" ca="1" si="15"/>
        <v>4.8225980893072798E-2</v>
      </c>
      <c r="E177" s="24">
        <f t="shared" ca="1" si="16"/>
        <v>-1.5095516836061557E-2</v>
      </c>
      <c r="F177" s="25">
        <f ca="1">'Single Simulation'!$AP$4*Results!C177</f>
        <v>93529.502211684739</v>
      </c>
      <c r="G177" s="25">
        <f ca="1">'Single Simulation'!$AP$5*Results!D177</f>
        <v>45614.485548269695</v>
      </c>
      <c r="H177" s="25">
        <f t="shared" ca="1" si="18"/>
        <v>47915.016663415045</v>
      </c>
      <c r="I177" s="25">
        <f t="shared" ca="1" si="19"/>
        <v>-723.30194074275187</v>
      </c>
      <c r="J177" s="25">
        <f ca="1">'Single Simulation'!$AP$7*Results!E177</f>
        <v>-210915.0756943876</v>
      </c>
      <c r="K177" s="28" t="str">
        <f t="shared" ca="1" si="17"/>
        <v>No</v>
      </c>
    </row>
    <row r="178" spans="2:11" ht="11.25" hidden="1">
      <c r="B178" s="27">
        <v>176</v>
      </c>
      <c r="C178" s="29">
        <f t="shared" ca="1" si="14"/>
        <v>5.9467642618884216E-2</v>
      </c>
      <c r="D178" s="29">
        <f t="shared" ca="1" si="15"/>
        <v>6.2722606823892038E-2</v>
      </c>
      <c r="E178" s="29">
        <f t="shared" ca="1" si="16"/>
        <v>3.7448083535223053E-2</v>
      </c>
      <c r="F178" s="30">
        <f ca="1">'Single Simulation'!$AP$4*Results!C178</f>
        <v>112756.36280835634</v>
      </c>
      <c r="G178" s="30">
        <f ca="1">'Single Simulation'!$AP$5*Results!D178</f>
        <v>59326.101606140466</v>
      </c>
      <c r="H178" s="30">
        <f t="shared" ca="1" si="18"/>
        <v>53430.261202215872</v>
      </c>
      <c r="I178" s="30">
        <f t="shared" ca="1" si="19"/>
        <v>2000.8608848093672</v>
      </c>
      <c r="J178" s="25">
        <f ca="1">'Single Simulation'!$AP$7*Results!E178</f>
        <v>523225.89939901762</v>
      </c>
      <c r="K178" s="28" t="str">
        <f t="shared" ca="1" si="17"/>
        <v>No</v>
      </c>
    </row>
    <row r="179" spans="2:11" ht="11.25" hidden="1">
      <c r="B179" s="27">
        <v>177</v>
      </c>
      <c r="C179" s="24">
        <f t="shared" ca="1" si="14"/>
        <v>5.2194646715576165E-2</v>
      </c>
      <c r="D179" s="24">
        <f t="shared" ca="1" si="15"/>
        <v>6.754354034853427E-2</v>
      </c>
      <c r="E179" s="24">
        <f t="shared" ca="1" si="16"/>
        <v>5.8597298875242898E-2</v>
      </c>
      <c r="F179" s="25">
        <f ca="1">'Single Simulation'!$AP$4*Results!C179</f>
        <v>98966.06393888891</v>
      </c>
      <c r="G179" s="25">
        <f ca="1">'Single Simulation'!$AP$5*Results!D179</f>
        <v>63885.975734497471</v>
      </c>
      <c r="H179" s="25">
        <f t="shared" ref="H179:H242" ca="1" si="20">F179-G179</f>
        <v>35080.088204391439</v>
      </c>
      <c r="I179" s="25">
        <f t="shared" ref="I179:I242" ca="1" si="21">H179*E179</f>
        <v>2055.5984130826082</v>
      </c>
      <c r="J179" s="25">
        <f ca="1">'Single Simulation'!$AP$7*Results!E179</f>
        <v>818723.45690304996</v>
      </c>
      <c r="K179" s="28" t="str">
        <f t="shared" ca="1" si="17"/>
        <v>No</v>
      </c>
    </row>
    <row r="180" spans="2:11" ht="11.25" hidden="1">
      <c r="B180" s="27">
        <v>178</v>
      </c>
      <c r="C180" s="29">
        <f t="shared" ca="1" si="14"/>
        <v>0.02</v>
      </c>
      <c r="D180" s="29">
        <f t="shared" ca="1" si="15"/>
        <v>4.1431844310825298E-2</v>
      </c>
      <c r="E180" s="29">
        <f t="shared" ca="1" si="16"/>
        <v>-3.9632364864433667E-4</v>
      </c>
      <c r="F180" s="30">
        <f ca="1">'Single Simulation'!$AP$4*Results!C180</f>
        <v>37921.921180225181</v>
      </c>
      <c r="G180" s="30">
        <f ca="1">'Single Simulation'!$AP$5*Results!D180</f>
        <v>39188.25970060809</v>
      </c>
      <c r="H180" s="30">
        <f t="shared" ca="1" si="20"/>
        <v>-1266.3385203829093</v>
      </c>
      <c r="I180" s="30">
        <f t="shared" ca="1" si="21"/>
        <v>0.50187990281702533</v>
      </c>
      <c r="J180" s="25">
        <f ca="1">'Single Simulation'!$AP$7*Results!E180</f>
        <v>-5537.4475257188387</v>
      </c>
      <c r="K180" s="28" t="str">
        <f t="shared" ca="1" si="17"/>
        <v>No</v>
      </c>
    </row>
    <row r="181" spans="2:11" ht="11.25" hidden="1">
      <c r="B181" s="27">
        <v>179</v>
      </c>
      <c r="C181" s="24">
        <f t="shared" ca="1" si="14"/>
        <v>6.0700204996326008E-2</v>
      </c>
      <c r="D181" s="24">
        <f t="shared" ca="1" si="15"/>
        <v>5.9138884565203761E-2</v>
      </c>
      <c r="E181" s="24">
        <f t="shared" ca="1" si="16"/>
        <v>6.9420814117589255E-2</v>
      </c>
      <c r="F181" s="25">
        <f ca="1">'Single Simulation'!$AP$4*Results!C181</f>
        <v>115093.41947470927</v>
      </c>
      <c r="G181" s="25">
        <f ca="1">'Single Simulation'!$AP$5*Results!D181</f>
        <v>55936.442253427755</v>
      </c>
      <c r="H181" s="25">
        <f t="shared" ca="1" si="20"/>
        <v>59156.977221281515</v>
      </c>
      <c r="I181" s="25">
        <f t="shared" ca="1" si="21"/>
        <v>4106.7255194370455</v>
      </c>
      <c r="J181" s="25">
        <f ca="1">'Single Simulation'!$AP$7*Results!E181</f>
        <v>969949.98073861527</v>
      </c>
      <c r="K181" s="28" t="str">
        <f t="shared" ca="1" si="17"/>
        <v>No</v>
      </c>
    </row>
    <row r="182" spans="2:11" ht="11.25" hidden="1">
      <c r="B182" s="27">
        <v>180</v>
      </c>
      <c r="C182" s="29">
        <f t="shared" ca="1" si="14"/>
        <v>4.6233937344993321E-2</v>
      </c>
      <c r="D182" s="29">
        <f t="shared" ca="1" si="15"/>
        <v>0.08</v>
      </c>
      <c r="E182" s="29">
        <f t="shared" ca="1" si="16"/>
        <v>4.564655914547594E-2</v>
      </c>
      <c r="F182" s="30">
        <f ca="1">'Single Simulation'!$AP$4*Results!C182</f>
        <v>87663.986392415303</v>
      </c>
      <c r="G182" s="30">
        <f ca="1">'Single Simulation'!$AP$5*Results!D182</f>
        <v>75667.90299097354</v>
      </c>
      <c r="H182" s="30">
        <f t="shared" ca="1" si="20"/>
        <v>11996.083401441763</v>
      </c>
      <c r="I182" s="30">
        <f t="shared" ca="1" si="21"/>
        <v>547.57993049797369</v>
      </c>
      <c r="J182" s="25">
        <f ca="1">'Single Simulation'!$AP$7*Results!E182</f>
        <v>637775.28003262728</v>
      </c>
      <c r="K182" s="28" t="str">
        <f t="shared" ca="1" si="17"/>
        <v>No</v>
      </c>
    </row>
    <row r="183" spans="2:11" ht="11.25" hidden="1">
      <c r="B183" s="27">
        <v>181</v>
      </c>
      <c r="C183" s="24">
        <f t="shared" ca="1" si="14"/>
        <v>8.6982673329916327E-2</v>
      </c>
      <c r="D183" s="24">
        <f t="shared" ca="1" si="15"/>
        <v>6.1475326949736099E-2</v>
      </c>
      <c r="E183" s="24">
        <f t="shared" ca="1" si="16"/>
        <v>8.0066771441485746E-2</v>
      </c>
      <c r="F183" s="25">
        <f ca="1">'Single Simulation'!$AP$4*Results!C183</f>
        <v>164927.50410311809</v>
      </c>
      <c r="G183" s="25">
        <f ca="1">'Single Simulation'!$AP$5*Results!D183</f>
        <v>58146.363449637654</v>
      </c>
      <c r="H183" s="25">
        <f t="shared" ca="1" si="20"/>
        <v>106781.14065348043</v>
      </c>
      <c r="I183" s="25">
        <f t="shared" ca="1" si="21"/>
        <v>8549.6211829633594</v>
      </c>
      <c r="J183" s="25">
        <f ca="1">'Single Simulation'!$AP$7*Results!E183</f>
        <v>1118695.6592863579</v>
      </c>
      <c r="K183" s="28" t="str">
        <f t="shared" ca="1" si="17"/>
        <v>No</v>
      </c>
    </row>
    <row r="184" spans="2:11" ht="11.25" hidden="1">
      <c r="B184" s="27">
        <v>182</v>
      </c>
      <c r="C184" s="29">
        <f t="shared" ca="1" si="14"/>
        <v>3.8737809904192677E-2</v>
      </c>
      <c r="D184" s="29">
        <f t="shared" ca="1" si="15"/>
        <v>6.4289350059221748E-2</v>
      </c>
      <c r="E184" s="29">
        <f t="shared" ca="1" si="16"/>
        <v>9.4587987861014466E-2</v>
      </c>
      <c r="F184" s="30">
        <f ca="1">'Single Simulation'!$AP$4*Results!C184</f>
        <v>73450.60869406705</v>
      </c>
      <c r="G184" s="30">
        <f ca="1">'Single Simulation'!$AP$5*Results!D184</f>
        <v>60808.003795424127</v>
      </c>
      <c r="H184" s="30">
        <f t="shared" ca="1" si="20"/>
        <v>12642.604898642923</v>
      </c>
      <c r="I184" s="30">
        <f t="shared" ca="1" si="21"/>
        <v>1195.8385586844388</v>
      </c>
      <c r="J184" s="25">
        <f ca="1">'Single Simulation'!$AP$7*Results!E184</f>
        <v>1321586.5899885728</v>
      </c>
      <c r="K184" s="28" t="str">
        <f t="shared" ca="1" si="17"/>
        <v>No</v>
      </c>
    </row>
    <row r="185" spans="2:11" ht="11.25" hidden="1">
      <c r="B185" s="27">
        <v>183</v>
      </c>
      <c r="C185" s="24">
        <f t="shared" ca="1" si="14"/>
        <v>6.3152095578102488E-2</v>
      </c>
      <c r="D185" s="24">
        <f t="shared" ca="1" si="15"/>
        <v>5.7404519573138003E-2</v>
      </c>
      <c r="E185" s="24">
        <f t="shared" ca="1" si="16"/>
        <v>7.0371527121169633E-2</v>
      </c>
      <c r="F185" s="25">
        <f ca="1">'Single Simulation'!$AP$4*Results!C185</f>
        <v>119742.43954394247</v>
      </c>
      <c r="G185" s="25">
        <f ca="1">'Single Simulation'!$AP$5*Results!D185</f>
        <v>54295.995228795597</v>
      </c>
      <c r="H185" s="25">
        <f t="shared" ca="1" si="20"/>
        <v>65446.444315146873</v>
      </c>
      <c r="I185" s="25">
        <f t="shared" ca="1" si="21"/>
        <v>4605.5662311074766</v>
      </c>
      <c r="J185" s="25">
        <f ca="1">'Single Simulation'!$AP$7*Results!E185</f>
        <v>983233.37522529985</v>
      </c>
      <c r="K185" s="28" t="str">
        <f t="shared" ca="1" si="17"/>
        <v>No</v>
      </c>
    </row>
    <row r="186" spans="2:11" ht="11.25" hidden="1">
      <c r="B186" s="27">
        <v>184</v>
      </c>
      <c r="C186" s="29">
        <f t="shared" ca="1" si="14"/>
        <v>4.14300390252757E-2</v>
      </c>
      <c r="D186" s="29">
        <f t="shared" ca="1" si="15"/>
        <v>5.7059595513667939E-2</v>
      </c>
      <c r="E186" s="29">
        <f t="shared" ca="1" si="16"/>
        <v>6.874876777455019E-3</v>
      </c>
      <c r="F186" s="30">
        <f ca="1">'Single Simulation'!$AP$4*Results!C186</f>
        <v>78555.333720507915</v>
      </c>
      <c r="G186" s="30">
        <f ca="1">'Single Simulation'!$AP$5*Results!D186</f>
        <v>53969.749225405183</v>
      </c>
      <c r="H186" s="30">
        <f t="shared" ca="1" si="20"/>
        <v>24585.584495102732</v>
      </c>
      <c r="I186" s="30">
        <f t="shared" ca="1" si="21"/>
        <v>169.02286390553996</v>
      </c>
      <c r="J186" s="25">
        <f ca="1">'Single Simulation'!$AP$7*Results!E186</f>
        <v>96056.012633007937</v>
      </c>
      <c r="K186" s="28" t="str">
        <f t="shared" ca="1" si="17"/>
        <v>No</v>
      </c>
    </row>
    <row r="187" spans="2:11" ht="11.25" hidden="1">
      <c r="B187" s="27">
        <v>185</v>
      </c>
      <c r="C187" s="24">
        <f t="shared" ca="1" si="14"/>
        <v>6.2368406340833363E-2</v>
      </c>
      <c r="D187" s="24">
        <f t="shared" ca="1" si="15"/>
        <v>5.7633580766007012E-2</v>
      </c>
      <c r="E187" s="24">
        <f t="shared" ca="1" si="16"/>
        <v>0.11414192575068441</v>
      </c>
      <c r="F187" s="25">
        <f ca="1">'Single Simulation'!$AP$4*Results!C187</f>
        <v>118256.48946966695</v>
      </c>
      <c r="G187" s="25">
        <f ca="1">'Single Simulation'!$AP$5*Results!D187</f>
        <v>54512.652480308207</v>
      </c>
      <c r="H187" s="25">
        <f t="shared" ca="1" si="20"/>
        <v>63743.836989358744</v>
      </c>
      <c r="I187" s="25">
        <f t="shared" ca="1" si="21"/>
        <v>7275.8443087031164</v>
      </c>
      <c r="J187" s="25">
        <f ca="1">'Single Simulation'!$AP$7*Results!E187</f>
        <v>1594794.8765886561</v>
      </c>
      <c r="K187" s="28" t="str">
        <f t="shared" ca="1" si="17"/>
        <v>No</v>
      </c>
    </row>
    <row r="188" spans="2:11" ht="11.25" hidden="1">
      <c r="B188" s="27">
        <v>186</v>
      </c>
      <c r="C188" s="29">
        <f t="shared" ca="1" si="14"/>
        <v>4.7492263685001437E-2</v>
      </c>
      <c r="D188" s="29">
        <f t="shared" ca="1" si="15"/>
        <v>5.0268673385229376E-2</v>
      </c>
      <c r="E188" s="29">
        <f t="shared" ca="1" si="16"/>
        <v>4.6320929601567258E-2</v>
      </c>
      <c r="F188" s="30">
        <f ca="1">'Single Simulation'!$AP$4*Results!C188</f>
        <v>90049.894006654751</v>
      </c>
      <c r="G188" s="30">
        <f ca="1">'Single Simulation'!$AP$5*Results!D188</f>
        <v>47546.56376498087</v>
      </c>
      <c r="H188" s="30">
        <f t="shared" ca="1" si="20"/>
        <v>42503.330241673881</v>
      </c>
      <c r="I188" s="30">
        <f t="shared" ca="1" si="21"/>
        <v>1968.7937679567406</v>
      </c>
      <c r="J188" s="25">
        <f ca="1">'Single Simulation'!$AP$7*Results!E188</f>
        <v>647197.60702793591</v>
      </c>
      <c r="K188" s="28" t="str">
        <f t="shared" ca="1" si="17"/>
        <v>No</v>
      </c>
    </row>
    <row r="189" spans="2:11" ht="11.25" hidden="1">
      <c r="B189" s="27">
        <v>187</v>
      </c>
      <c r="C189" s="24">
        <f t="shared" ca="1" si="14"/>
        <v>4.7614160300683724E-2</v>
      </c>
      <c r="D189" s="24">
        <f t="shared" ca="1" si="15"/>
        <v>5.1352503862399451E-2</v>
      </c>
      <c r="E189" s="24">
        <f t="shared" ca="1" si="16"/>
        <v>4.6283785129878519E-2</v>
      </c>
      <c r="F189" s="25">
        <f ca="1">'Single Simulation'!$AP$4*Results!C189</f>
        <v>90281.021699256744</v>
      </c>
      <c r="G189" s="25">
        <f ca="1">'Single Simulation'!$AP$5*Results!D189</f>
        <v>48571.703507545441</v>
      </c>
      <c r="H189" s="25">
        <f t="shared" ca="1" si="20"/>
        <v>41709.318191711303</v>
      </c>
      <c r="I189" s="25">
        <f t="shared" ca="1" si="21"/>
        <v>1930.4651210988993</v>
      </c>
      <c r="J189" s="25">
        <f ca="1">'Single Simulation'!$AP$7*Results!E189</f>
        <v>646678.6232036032</v>
      </c>
      <c r="K189" s="28" t="str">
        <f t="shared" ca="1" si="17"/>
        <v>No</v>
      </c>
    </row>
    <row r="190" spans="2:11" ht="11.25" hidden="1">
      <c r="B190" s="27">
        <v>188</v>
      </c>
      <c r="C190" s="29">
        <f t="shared" ca="1" si="14"/>
        <v>6.7284274002411604E-2</v>
      </c>
      <c r="D190" s="29">
        <f t="shared" ca="1" si="15"/>
        <v>6.9242865820144606E-2</v>
      </c>
      <c r="E190" s="29">
        <f t="shared" ca="1" si="16"/>
        <v>5.4074085752357268E-2</v>
      </c>
      <c r="F190" s="30">
        <f ca="1">'Single Simulation'!$AP$4*Results!C190</f>
        <v>127577.44676940635</v>
      </c>
      <c r="G190" s="30">
        <f ca="1">'Single Simulation'!$AP$5*Results!D190</f>
        <v>65493.28067119624</v>
      </c>
      <c r="H190" s="30">
        <f t="shared" ca="1" si="20"/>
        <v>62084.166098210109</v>
      </c>
      <c r="I190" s="30">
        <f t="shared" ca="1" si="21"/>
        <v>3357.1445214582054</v>
      </c>
      <c r="J190" s="25">
        <f ca="1">'Single Simulation'!$AP$7*Results!E190</f>
        <v>755524.96899727429</v>
      </c>
      <c r="K190" s="28" t="str">
        <f t="shared" ca="1" si="17"/>
        <v>No</v>
      </c>
    </row>
    <row r="191" spans="2:11" ht="11.25" hidden="1">
      <c r="B191" s="27">
        <v>189</v>
      </c>
      <c r="C191" s="24">
        <f t="shared" ca="1" si="14"/>
        <v>4.0992254376988821E-2</v>
      </c>
      <c r="D191" s="24">
        <f t="shared" ca="1" si="15"/>
        <v>4.51483763805565E-2</v>
      </c>
      <c r="E191" s="24">
        <f t="shared" ca="1" si="16"/>
        <v>5.3274255347349919E-2</v>
      </c>
      <c r="F191" s="25">
        <f ca="1">'Single Simulation'!$AP$4*Results!C191</f>
        <v>77725.251974195533</v>
      </c>
      <c r="G191" s="25">
        <f ca="1">'Single Simulation'!$AP$5*Results!D191</f>
        <v>42703.53705204888</v>
      </c>
      <c r="H191" s="25">
        <f t="shared" ca="1" si="20"/>
        <v>35021.714922146653</v>
      </c>
      <c r="I191" s="25">
        <f t="shared" ca="1" si="21"/>
        <v>1865.7557834645359</v>
      </c>
      <c r="J191" s="25">
        <f ca="1">'Single Simulation'!$AP$7*Results!E191</f>
        <v>744349.71131998824</v>
      </c>
      <c r="K191" s="28" t="str">
        <f t="shared" ca="1" si="17"/>
        <v>No</v>
      </c>
    </row>
    <row r="192" spans="2:11" ht="11.25" hidden="1">
      <c r="B192" s="27">
        <v>190</v>
      </c>
      <c r="C192" s="29">
        <f t="shared" ca="1" si="14"/>
        <v>3.8794433736571918E-2</v>
      </c>
      <c r="D192" s="29">
        <f t="shared" ca="1" si="15"/>
        <v>4.5330096772213363E-2</v>
      </c>
      <c r="E192" s="29">
        <f t="shared" ca="1" si="16"/>
        <v>0.10910644512284479</v>
      </c>
      <c r="F192" s="30">
        <f ca="1">'Single Simulation'!$AP$4*Results!C192</f>
        <v>73557.972919487438</v>
      </c>
      <c r="G192" s="30">
        <f ca="1">'Single Simulation'!$AP$5*Results!D192</f>
        <v>42875.417064141046</v>
      </c>
      <c r="H192" s="30">
        <f t="shared" ca="1" si="20"/>
        <v>30682.555855346392</v>
      </c>
      <c r="I192" s="30">
        <f t="shared" ca="1" si="21"/>
        <v>3347.6645966599713</v>
      </c>
      <c r="J192" s="25">
        <f ca="1">'Single Simulation'!$AP$7*Results!E192</f>
        <v>1524438.9696453926</v>
      </c>
      <c r="K192" s="28" t="str">
        <f t="shared" ca="1" si="17"/>
        <v>No</v>
      </c>
    </row>
    <row r="193" spans="2:11" ht="11.25" hidden="1">
      <c r="B193" s="27">
        <v>191</v>
      </c>
      <c r="C193" s="24">
        <f t="shared" ca="1" si="14"/>
        <v>7.0240349420797654E-2</v>
      </c>
      <c r="D193" s="24">
        <f t="shared" ca="1" si="15"/>
        <v>5.0432241683166401E-2</v>
      </c>
      <c r="E193" s="24">
        <f t="shared" ca="1" si="16"/>
        <v>4.5249449446256973E-2</v>
      </c>
      <c r="F193" s="25">
        <f ca="1">'Single Simulation'!$AP$4*Results!C193</f>
        <v>133182.4497203482</v>
      </c>
      <c r="G193" s="25">
        <f ca="1">'Single Simulation'!$AP$5*Results!D193</f>
        <v>47701.274641239586</v>
      </c>
      <c r="H193" s="25">
        <f t="shared" ca="1" si="20"/>
        <v>85481.175079108623</v>
      </c>
      <c r="I193" s="25">
        <f t="shared" ca="1" si="21"/>
        <v>3867.9761103487672</v>
      </c>
      <c r="J193" s="25">
        <f ca="1">'Single Simulation'!$AP$7*Results!E193</f>
        <v>632226.84978149075</v>
      </c>
      <c r="K193" s="28" t="str">
        <f t="shared" ca="1" si="17"/>
        <v>No</v>
      </c>
    </row>
    <row r="194" spans="2:11" ht="11.25" hidden="1">
      <c r="B194" s="27">
        <v>192</v>
      </c>
      <c r="C194" s="29">
        <f t="shared" ca="1" si="14"/>
        <v>5.5700242177845929E-2</v>
      </c>
      <c r="D194" s="29">
        <f t="shared" ca="1" si="15"/>
        <v>6.5244882246789218E-2</v>
      </c>
      <c r="E194" s="29">
        <f t="shared" ca="1" si="16"/>
        <v>6.625645240701801E-2</v>
      </c>
      <c r="F194" s="30">
        <f ca="1">'Single Simulation'!$AP$4*Results!C194</f>
        <v>105613.00967938636</v>
      </c>
      <c r="G194" s="30">
        <f ca="1">'Single Simulation'!$AP$5*Results!D194</f>
        <v>61711.792756344228</v>
      </c>
      <c r="H194" s="30">
        <f t="shared" ca="1" si="20"/>
        <v>43901.216923042135</v>
      </c>
      <c r="I194" s="30">
        <f t="shared" ca="1" si="21"/>
        <v>2908.7388896717148</v>
      </c>
      <c r="J194" s="25">
        <f ca="1">'Single Simulation'!$AP$7*Results!E194</f>
        <v>925737.41107586736</v>
      </c>
      <c r="K194" s="28" t="str">
        <f t="shared" ca="1" si="17"/>
        <v>No</v>
      </c>
    </row>
    <row r="195" spans="2:11" ht="11.25" hidden="1">
      <c r="B195" s="27">
        <v>193</v>
      </c>
      <c r="C195" s="24">
        <f t="shared" ca="1" si="14"/>
        <v>9.0427579883061479E-2</v>
      </c>
      <c r="D195" s="24">
        <f t="shared" ca="1" si="15"/>
        <v>7.7594946742032517E-2</v>
      </c>
      <c r="E195" s="24">
        <f t="shared" ca="1" si="16"/>
        <v>1.4459331512815948E-2</v>
      </c>
      <c r="F195" s="25">
        <f ca="1">'Single Simulation'!$AP$4*Results!C195</f>
        <v>171459.37784219868</v>
      </c>
      <c r="G195" s="25">
        <f ca="1">'Single Simulation'!$AP$5*Results!D195</f>
        <v>73393.086283323428</v>
      </c>
      <c r="H195" s="25">
        <f t="shared" ca="1" si="20"/>
        <v>98066.291558875251</v>
      </c>
      <c r="I195" s="25">
        <f t="shared" ca="1" si="21"/>
        <v>1417.9730198822415</v>
      </c>
      <c r="J195" s="25">
        <f ca="1">'Single Simulation'!$AP$7*Results!E195</f>
        <v>202026.27267656301</v>
      </c>
      <c r="K195" s="28" t="str">
        <f t="shared" ca="1" si="17"/>
        <v>No</v>
      </c>
    </row>
    <row r="196" spans="2:11" ht="11.25" hidden="1">
      <c r="B196" s="27">
        <v>194</v>
      </c>
      <c r="C196" s="29">
        <f t="shared" ref="C196:C259" ca="1" si="22">MAX(0.02,MIN(0.12,_xlfn.NORM.INV(RAND(),0.06,0.02)))</f>
        <v>5.6886267477773832E-2</v>
      </c>
      <c r="D196" s="29">
        <f t="shared" ref="D196:D259" ca="1" si="23">MAX(0.02,MIN(0.08,_xlfn.NORM.INV(RAND(),0.05,0.015)))</f>
        <v>0.08</v>
      </c>
      <c r="E196" s="29">
        <f t="shared" ref="E196:E259" ca="1" si="24">MAX(-0.1,MIN(0.25,_xlfn.NORM.INV(RAND(),0.07,0.04)))</f>
        <v>0.10370134111273949</v>
      </c>
      <c r="F196" s="30">
        <f ca="1">'Single Simulation'!$AP$4*Results!C196</f>
        <v>107861.8275764673</v>
      </c>
      <c r="G196" s="30">
        <f ca="1">'Single Simulation'!$AP$5*Results!D196</f>
        <v>75667.90299097354</v>
      </c>
      <c r="H196" s="30">
        <f t="shared" ca="1" si="20"/>
        <v>32193.924585493762</v>
      </c>
      <c r="I196" s="30">
        <f t="shared" ca="1" si="21"/>
        <v>3338.5531551980989</v>
      </c>
      <c r="J196" s="25">
        <f ca="1">'Single Simulation'!$AP$7*Results!E196</f>
        <v>1448918.6722082079</v>
      </c>
      <c r="K196" s="28" t="str">
        <f t="shared" ref="K196:K259" ca="1" si="25">IF(J196&gt;$N$4,"Yes","No")</f>
        <v>No</v>
      </c>
    </row>
    <row r="197" spans="2:11" ht="11.25" hidden="1">
      <c r="B197" s="27">
        <v>195</v>
      </c>
      <c r="C197" s="24">
        <f t="shared" ca="1" si="22"/>
        <v>3.839120375970978E-2</v>
      </c>
      <c r="D197" s="24">
        <f t="shared" ca="1" si="23"/>
        <v>3.9622096813668177E-2</v>
      </c>
      <c r="E197" s="24">
        <f t="shared" ca="1" si="24"/>
        <v>0.14032963422419137</v>
      </c>
      <c r="F197" s="25">
        <f ca="1">'Single Simulation'!$AP$4*Results!C197</f>
        <v>72793.410149483941</v>
      </c>
      <c r="G197" s="25">
        <f ca="1">'Single Simulation'!$AP$5*Results!D197</f>
        <v>37476.512224945065</v>
      </c>
      <c r="H197" s="25">
        <f t="shared" ca="1" si="20"/>
        <v>35316.897924538876</v>
      </c>
      <c r="I197" s="25">
        <f t="shared" ca="1" si="21"/>
        <v>4956.0073676836437</v>
      </c>
      <c r="J197" s="25">
        <f ca="1">'Single Simulation'!$AP$7*Results!E197</f>
        <v>1960690.4318675264</v>
      </c>
      <c r="K197" s="28" t="str">
        <f t="shared" ca="1" si="25"/>
        <v>No</v>
      </c>
    </row>
    <row r="198" spans="2:11" ht="11.25" hidden="1">
      <c r="B198" s="27">
        <v>196</v>
      </c>
      <c r="C198" s="29">
        <f t="shared" ca="1" si="22"/>
        <v>5.5062472888048775E-2</v>
      </c>
      <c r="D198" s="29">
        <f t="shared" ca="1" si="23"/>
        <v>4.1974358854827712E-2</v>
      </c>
      <c r="E198" s="29">
        <f t="shared" ca="1" si="24"/>
        <v>6.7093126093266356E-2</v>
      </c>
      <c r="F198" s="30">
        <f ca="1">'Single Simulation'!$AP$4*Results!C198</f>
        <v>104403.73784244357</v>
      </c>
      <c r="G198" s="30">
        <f ca="1">'Single Simulation'!$AP$5*Results!D198</f>
        <v>39701.396424192681</v>
      </c>
      <c r="H198" s="30">
        <f t="shared" ca="1" si="20"/>
        <v>64702.341418250893</v>
      </c>
      <c r="I198" s="30">
        <f t="shared" ca="1" si="21"/>
        <v>4341.0823513042778</v>
      </c>
      <c r="J198" s="25">
        <f ca="1">'Single Simulation'!$AP$7*Results!E198</f>
        <v>937427.44433428557</v>
      </c>
      <c r="K198" s="28" t="str">
        <f t="shared" ca="1" si="25"/>
        <v>No</v>
      </c>
    </row>
    <row r="199" spans="2:11" ht="11.25" hidden="1">
      <c r="B199" s="27">
        <v>197</v>
      </c>
      <c r="C199" s="24">
        <f t="shared" ca="1" si="22"/>
        <v>9.616790729175019E-2</v>
      </c>
      <c r="D199" s="24">
        <f t="shared" ca="1" si="23"/>
        <v>3.531201238789531E-2</v>
      </c>
      <c r="E199" s="24">
        <f t="shared" ca="1" si="24"/>
        <v>0.10709655813993238</v>
      </c>
      <c r="F199" s="25">
        <f ca="1">'Single Simulation'!$AP$4*Results!C199</f>
        <v>182343.59001924764</v>
      </c>
      <c r="G199" s="25">
        <f ca="1">'Single Simulation'!$AP$5*Results!D199</f>
        <v>33399.824097291479</v>
      </c>
      <c r="H199" s="25">
        <f t="shared" ca="1" si="20"/>
        <v>148943.76592195616</v>
      </c>
      <c r="I199" s="25">
        <f t="shared" ca="1" si="21"/>
        <v>15951.364686641256</v>
      </c>
      <c r="J199" s="25">
        <f ca="1">'Single Simulation'!$AP$7*Results!E199</f>
        <v>1496356.7602224301</v>
      </c>
      <c r="K199" s="28" t="str">
        <f t="shared" ca="1" si="25"/>
        <v>No</v>
      </c>
    </row>
    <row r="200" spans="2:11" ht="11.25" hidden="1">
      <c r="B200" s="27">
        <v>198</v>
      </c>
      <c r="C200" s="29">
        <f t="shared" ca="1" si="22"/>
        <v>0.02</v>
      </c>
      <c r="D200" s="29">
        <f t="shared" ca="1" si="23"/>
        <v>4.4375473092707965E-2</v>
      </c>
      <c r="E200" s="29">
        <f t="shared" ca="1" si="24"/>
        <v>0.12523879030821439</v>
      </c>
      <c r="F200" s="30">
        <f ca="1">'Single Simulation'!$AP$4*Results!C200</f>
        <v>37921.921180225181</v>
      </c>
      <c r="G200" s="30">
        <f ca="1">'Single Simulation'!$AP$5*Results!D200</f>
        <v>41972.487414469782</v>
      </c>
      <c r="H200" s="30">
        <f t="shared" ca="1" si="20"/>
        <v>-4050.5662342446012</v>
      </c>
      <c r="I200" s="30">
        <f t="shared" ca="1" si="21"/>
        <v>-507.28801524009322</v>
      </c>
      <c r="J200" s="25">
        <f ca="1">'Single Simulation'!$AP$7*Results!E200</f>
        <v>1749840.6463718154</v>
      </c>
      <c r="K200" s="28" t="str">
        <f t="shared" ca="1" si="25"/>
        <v>No</v>
      </c>
    </row>
    <row r="201" spans="2:11" ht="11.25" hidden="1">
      <c r="B201" s="27">
        <v>199</v>
      </c>
      <c r="C201" s="24">
        <f t="shared" ca="1" si="22"/>
        <v>8.1516350870964552E-2</v>
      </c>
      <c r="D201" s="24">
        <f t="shared" ca="1" si="23"/>
        <v>5.5984372302735563E-2</v>
      </c>
      <c r="E201" s="24">
        <f t="shared" ca="1" si="24"/>
        <v>0.15428153098517866</v>
      </c>
      <c r="F201" s="25">
        <f ca="1">'Single Simulation'!$AP$4*Results!C201</f>
        <v>154562.83163141488</v>
      </c>
      <c r="G201" s="25">
        <f ca="1">'Single Simulation'!$AP$5*Results!D201</f>
        <v>52952.750655174255</v>
      </c>
      <c r="H201" s="25">
        <f t="shared" ca="1" si="20"/>
        <v>101610.08097624063</v>
      </c>
      <c r="I201" s="25">
        <f t="shared" ca="1" si="21"/>
        <v>15676.55885654238</v>
      </c>
      <c r="J201" s="25">
        <f ca="1">'Single Simulation'!$AP$7*Results!E201</f>
        <v>2155626.8088979707</v>
      </c>
      <c r="K201" s="28" t="str">
        <f t="shared" ca="1" si="25"/>
        <v>No</v>
      </c>
    </row>
    <row r="202" spans="2:11" ht="11.25" hidden="1">
      <c r="B202" s="27">
        <v>200</v>
      </c>
      <c r="C202" s="29">
        <f t="shared" ca="1" si="22"/>
        <v>5.5462340446532789E-2</v>
      </c>
      <c r="D202" s="29">
        <f t="shared" ca="1" si="23"/>
        <v>7.8175187374518229E-2</v>
      </c>
      <c r="E202" s="29">
        <f t="shared" ca="1" si="24"/>
        <v>8.9484604632773163E-2</v>
      </c>
      <c r="F202" s="30">
        <f ca="1">'Single Simulation'!$AP$4*Results!C202</f>
        <v>105161.92514421156</v>
      </c>
      <c r="G202" s="30">
        <f ca="1">'Single Simulation'!$AP$5*Results!D202</f>
        <v>73941.9061819528</v>
      </c>
      <c r="H202" s="30">
        <f t="shared" ca="1" si="20"/>
        <v>31220.018962258764</v>
      </c>
      <c r="I202" s="30">
        <f t="shared" ca="1" si="21"/>
        <v>2793.7110534654066</v>
      </c>
      <c r="J202" s="25">
        <f ca="1">'Single Simulation'!$AP$7*Results!E202</f>
        <v>1250281.9455983506</v>
      </c>
      <c r="K202" s="28" t="str">
        <f t="shared" ca="1" si="25"/>
        <v>No</v>
      </c>
    </row>
    <row r="203" spans="2:11" ht="11.25" hidden="1">
      <c r="B203" s="27">
        <v>201</v>
      </c>
      <c r="C203" s="24">
        <f t="shared" ca="1" si="22"/>
        <v>7.5031849990636029E-2</v>
      </c>
      <c r="D203" s="24">
        <f t="shared" ca="1" si="23"/>
        <v>2.4999722680756144E-2</v>
      </c>
      <c r="E203" s="24">
        <f t="shared" ca="1" si="24"/>
        <v>6.1249765143725106E-2</v>
      </c>
      <c r="F203" s="25">
        <f ca="1">'Single Simulation'!$AP$4*Results!C203</f>
        <v>142267.59506756894</v>
      </c>
      <c r="G203" s="25">
        <f ca="1">'Single Simulation'!$AP$5*Results!D203</f>
        <v>23645.957382608711</v>
      </c>
      <c r="H203" s="25">
        <f t="shared" ca="1" si="20"/>
        <v>118621.63768496022</v>
      </c>
      <c r="I203" s="25">
        <f t="shared" ca="1" si="21"/>
        <v>7265.5474491678651</v>
      </c>
      <c r="J203" s="25">
        <f ca="1">'Single Simulation'!$AP$7*Results!E203</f>
        <v>855783.80600333924</v>
      </c>
      <c r="K203" s="28" t="str">
        <f t="shared" ca="1" si="25"/>
        <v>No</v>
      </c>
    </row>
    <row r="204" spans="2:11" ht="11.25" hidden="1">
      <c r="B204" s="27">
        <v>202</v>
      </c>
      <c r="C204" s="29">
        <f t="shared" ca="1" si="22"/>
        <v>6.7903392696767401E-2</v>
      </c>
      <c r="D204" s="29">
        <f t="shared" ca="1" si="23"/>
        <v>5.4296183386658536E-2</v>
      </c>
      <c r="E204" s="29">
        <f t="shared" ca="1" si="24"/>
        <v>6.2228753206515448E-2</v>
      </c>
      <c r="F204" s="30">
        <f ca="1">'Single Simulation'!$AP$4*Results!C204</f>
        <v>128751.35528583456</v>
      </c>
      <c r="G204" s="30">
        <f ca="1">'Single Simulation'!$AP$5*Results!D204</f>
        <v>51355.979216022337</v>
      </c>
      <c r="H204" s="30">
        <f t="shared" ca="1" si="20"/>
        <v>77395.376069812221</v>
      </c>
      <c r="I204" s="30">
        <f t="shared" ca="1" si="21"/>
        <v>4816.2177567737963</v>
      </c>
      <c r="J204" s="25">
        <f ca="1">'Single Simulation'!$AP$7*Results!E204</f>
        <v>869462.26058093016</v>
      </c>
      <c r="K204" s="28" t="str">
        <f t="shared" ca="1" si="25"/>
        <v>No</v>
      </c>
    </row>
    <row r="205" spans="2:11" ht="11.25" hidden="1">
      <c r="B205" s="27">
        <v>203</v>
      </c>
      <c r="C205" s="24">
        <f t="shared" ca="1" si="22"/>
        <v>4.3628183395656425E-2</v>
      </c>
      <c r="D205" s="24">
        <f t="shared" ca="1" si="23"/>
        <v>5.0483689076380393E-2</v>
      </c>
      <c r="E205" s="24">
        <f t="shared" ca="1" si="24"/>
        <v>8.9337820437272175E-2</v>
      </c>
      <c r="F205" s="25">
        <f ca="1">'Single Simulation'!$AP$4*Results!C205</f>
        <v>82723.226598324589</v>
      </c>
      <c r="G205" s="25">
        <f ca="1">'Single Simulation'!$AP$5*Results!D205</f>
        <v>47749.936095725272</v>
      </c>
      <c r="H205" s="25">
        <f t="shared" ca="1" si="20"/>
        <v>34973.290502599317</v>
      </c>
      <c r="I205" s="25">
        <f t="shared" ca="1" si="21"/>
        <v>3124.4375470217742</v>
      </c>
      <c r="J205" s="25">
        <f ca="1">'Single Simulation'!$AP$7*Results!E205</f>
        <v>1248231.0718163496</v>
      </c>
      <c r="K205" s="28" t="str">
        <f t="shared" ca="1" si="25"/>
        <v>No</v>
      </c>
    </row>
    <row r="206" spans="2:11" ht="11.25" hidden="1">
      <c r="B206" s="27">
        <v>204</v>
      </c>
      <c r="C206" s="29">
        <f t="shared" ca="1" si="22"/>
        <v>8.2777373830265358E-2</v>
      </c>
      <c r="D206" s="29">
        <f t="shared" ca="1" si="23"/>
        <v>6.5126751779194747E-2</v>
      </c>
      <c r="E206" s="29">
        <f t="shared" ca="1" si="24"/>
        <v>8.3600309903051367E-2</v>
      </c>
      <c r="F206" s="30">
        <f ca="1">'Single Simulation'!$AP$4*Results!C206</f>
        <v>156953.85229486786</v>
      </c>
      <c r="G206" s="30">
        <f ca="1">'Single Simulation'!$AP$5*Results!D206</f>
        <v>61600.059196816517</v>
      </c>
      <c r="H206" s="30">
        <f t="shared" ca="1" si="20"/>
        <v>95353.793098051334</v>
      </c>
      <c r="I206" s="30">
        <f t="shared" ca="1" si="21"/>
        <v>7971.6066534285319</v>
      </c>
      <c r="J206" s="25">
        <f ca="1">'Single Simulation'!$AP$7*Results!E206</f>
        <v>1168066.3790956829</v>
      </c>
      <c r="K206" s="28" t="str">
        <f t="shared" ca="1" si="25"/>
        <v>No</v>
      </c>
    </row>
    <row r="207" spans="2:11" ht="11.25" hidden="1">
      <c r="B207" s="27">
        <v>205</v>
      </c>
      <c r="C207" s="24">
        <f t="shared" ca="1" si="22"/>
        <v>8.8473363704857158E-2</v>
      </c>
      <c r="D207" s="24">
        <f t="shared" ca="1" si="23"/>
        <v>6.1229354240550149E-2</v>
      </c>
      <c r="E207" s="24">
        <f t="shared" ca="1" si="24"/>
        <v>5.6545843581446965E-2</v>
      </c>
      <c r="F207" s="25">
        <f ca="1">'Single Simulation'!$AP$4*Results!C207</f>
        <v>167753.9962482494</v>
      </c>
      <c r="G207" s="25">
        <f ca="1">'Single Simulation'!$AP$5*Results!D207</f>
        <v>57913.710460923787</v>
      </c>
      <c r="H207" s="25">
        <f t="shared" ca="1" si="20"/>
        <v>109840.28578732561</v>
      </c>
      <c r="I207" s="25">
        <f t="shared" ca="1" si="21"/>
        <v>6211.0116190715462</v>
      </c>
      <c r="J207" s="25">
        <f ca="1">'Single Simulation'!$AP$7*Results!E207</f>
        <v>790060.45362375921</v>
      </c>
      <c r="K207" s="28" t="str">
        <f t="shared" ca="1" si="25"/>
        <v>No</v>
      </c>
    </row>
    <row r="208" spans="2:11" ht="11.25" hidden="1">
      <c r="B208" s="27">
        <v>206</v>
      </c>
      <c r="C208" s="29">
        <f t="shared" ca="1" si="22"/>
        <v>2.0570115433298328E-2</v>
      </c>
      <c r="D208" s="29">
        <f t="shared" ca="1" si="23"/>
        <v>2.7529315426919939E-2</v>
      </c>
      <c r="E208" s="29">
        <f t="shared" ca="1" si="24"/>
        <v>4.4022208650737152E-2</v>
      </c>
      <c r="F208" s="30">
        <f ca="1">'Single Simulation'!$AP$4*Results!C208</f>
        <v>39002.914806483634</v>
      </c>
      <c r="G208" s="30">
        <f ca="1">'Single Simulation'!$AP$5*Results!D208</f>
        <v>26038.569614151114</v>
      </c>
      <c r="H208" s="30">
        <f t="shared" ca="1" si="20"/>
        <v>12964.345192332519</v>
      </c>
      <c r="I208" s="30">
        <f t="shared" ca="1" si="21"/>
        <v>570.71910907704319</v>
      </c>
      <c r="J208" s="25">
        <f ca="1">'Single Simulation'!$AP$7*Results!E208</f>
        <v>615079.79956165631</v>
      </c>
      <c r="K208" s="28" t="str">
        <f t="shared" ca="1" si="25"/>
        <v>No</v>
      </c>
    </row>
    <row r="209" spans="2:11" ht="11.25" hidden="1">
      <c r="B209" s="27">
        <v>207</v>
      </c>
      <c r="C209" s="24">
        <f t="shared" ca="1" si="22"/>
        <v>9.2620886152903897E-2</v>
      </c>
      <c r="D209" s="24">
        <f t="shared" ca="1" si="23"/>
        <v>5.2556646522679447E-2</v>
      </c>
      <c r="E209" s="24">
        <f t="shared" ca="1" si="24"/>
        <v>0.13295684881397685</v>
      </c>
      <c r="F209" s="25">
        <f ca="1">'Single Simulation'!$AP$4*Results!C209</f>
        <v>175618.09721665157</v>
      </c>
      <c r="G209" s="25">
        <f ca="1">'Single Simulation'!$AP$5*Results!D209</f>
        <v>49710.640382612437</v>
      </c>
      <c r="H209" s="25">
        <f t="shared" ca="1" si="20"/>
        <v>125907.45683403913</v>
      </c>
      <c r="I209" s="25">
        <f t="shared" ca="1" si="21"/>
        <v>16740.258702835657</v>
      </c>
      <c r="J209" s="25">
        <f ca="1">'Single Simulation'!$AP$7*Results!E209</f>
        <v>1857677.6228486877</v>
      </c>
      <c r="K209" s="28" t="str">
        <f t="shared" ca="1" si="25"/>
        <v>No</v>
      </c>
    </row>
    <row r="210" spans="2:11" ht="11.25" hidden="1">
      <c r="B210" s="27">
        <v>208</v>
      </c>
      <c r="C210" s="29">
        <f t="shared" ca="1" si="22"/>
        <v>6.4616259512614654E-2</v>
      </c>
      <c r="D210" s="29">
        <f t="shared" ca="1" si="23"/>
        <v>4.2626824414032094E-2</v>
      </c>
      <c r="E210" s="29">
        <f t="shared" ca="1" si="24"/>
        <v>5.7330127798680325E-2</v>
      </c>
      <c r="F210" s="30">
        <f ca="1">'Single Simulation'!$AP$4*Results!C210</f>
        <v>122518.63500991742</v>
      </c>
      <c r="G210" s="30">
        <f ca="1">'Single Simulation'!$AP$5*Results!D210</f>
        <v>40318.530182178038</v>
      </c>
      <c r="H210" s="30">
        <f t="shared" ca="1" si="20"/>
        <v>82200.104827739386</v>
      </c>
      <c r="I210" s="30">
        <f t="shared" ca="1" si="21"/>
        <v>4712.5425148392187</v>
      </c>
      <c r="J210" s="25">
        <f ca="1">'Single Simulation'!$AP$7*Results!E210</f>
        <v>801018.49943564716</v>
      </c>
      <c r="K210" s="28" t="str">
        <f t="shared" ca="1" si="25"/>
        <v>No</v>
      </c>
    </row>
    <row r="211" spans="2:11" ht="11.25" hidden="1">
      <c r="B211" s="27">
        <v>209</v>
      </c>
      <c r="C211" s="24">
        <f t="shared" ca="1" si="22"/>
        <v>6.0145264068055516E-2</v>
      </c>
      <c r="D211" s="24">
        <f t="shared" ca="1" si="23"/>
        <v>4.1551203760407343E-2</v>
      </c>
      <c r="E211" s="24">
        <f t="shared" ca="1" si="24"/>
        <v>8.0487967313420741E-2</v>
      </c>
      <c r="F211" s="25">
        <f ca="1">'Single Simulation'!$AP$4*Results!C211</f>
        <v>114041.19816763155</v>
      </c>
      <c r="G211" s="25">
        <f ca="1">'Single Simulation'!$AP$5*Results!D211</f>
        <v>39301.155691258471</v>
      </c>
      <c r="H211" s="25">
        <f t="shared" ca="1" si="20"/>
        <v>74740.042476373084</v>
      </c>
      <c r="I211" s="25">
        <f t="shared" ca="1" si="21"/>
        <v>6015.674095841995</v>
      </c>
      <c r="J211" s="25">
        <f ca="1">'Single Simulation'!$AP$7*Results!E211</f>
        <v>1124580.6223635485</v>
      </c>
      <c r="K211" s="28" t="str">
        <f t="shared" ca="1" si="25"/>
        <v>No</v>
      </c>
    </row>
    <row r="212" spans="2:11" ht="11.25" hidden="1">
      <c r="B212" s="27">
        <v>210</v>
      </c>
      <c r="C212" s="29">
        <f t="shared" ca="1" si="22"/>
        <v>7.1737632843253213E-2</v>
      </c>
      <c r="D212" s="29">
        <f t="shared" ca="1" si="23"/>
        <v>2.9398711866385006E-2</v>
      </c>
      <c r="E212" s="29">
        <f t="shared" ca="1" si="24"/>
        <v>4.6083867225929179E-2</v>
      </c>
      <c r="F212" s="30">
        <f ca="1">'Single Simulation'!$AP$4*Results!C212</f>
        <v>136021.44291688906</v>
      </c>
      <c r="G212" s="30">
        <f ca="1">'Single Simulation'!$AP$5*Results!D212</f>
        <v>27806.735969565041</v>
      </c>
      <c r="H212" s="30">
        <f t="shared" ca="1" si="20"/>
        <v>108214.70694732403</v>
      </c>
      <c r="I212" s="30">
        <f t="shared" ca="1" si="21"/>
        <v>4986.9521868533166</v>
      </c>
      <c r="J212" s="25">
        <f ca="1">'Single Simulation'!$AP$7*Results!E212</f>
        <v>643885.36343634501</v>
      </c>
      <c r="K212" s="28" t="str">
        <f t="shared" ca="1" si="25"/>
        <v>No</v>
      </c>
    </row>
    <row r="213" spans="2:11" ht="11.25" hidden="1">
      <c r="B213" s="27">
        <v>211</v>
      </c>
      <c r="C213" s="24">
        <f t="shared" ca="1" si="22"/>
        <v>8.3503006063088164E-2</v>
      </c>
      <c r="D213" s="24">
        <f t="shared" ca="1" si="23"/>
        <v>6.6427721559724359E-2</v>
      </c>
      <c r="E213" s="24">
        <f t="shared" ca="1" si="24"/>
        <v>2.0551742409282314E-2</v>
      </c>
      <c r="F213" s="25">
        <f ca="1">'Single Simulation'!$AP$4*Results!C213</f>
        <v>158329.72071181473</v>
      </c>
      <c r="G213" s="25">
        <f ca="1">'Single Simulation'!$AP$5*Results!D213</f>
        <v>62830.579886157801</v>
      </c>
      <c r="H213" s="25">
        <f t="shared" ca="1" si="20"/>
        <v>95499.140825656941</v>
      </c>
      <c r="I213" s="25">
        <f t="shared" ca="1" si="21"/>
        <v>1962.6737425566778</v>
      </c>
      <c r="J213" s="25">
        <f ca="1">'Single Simulation'!$AP$7*Results!E213</f>
        <v>287149.64535366365</v>
      </c>
      <c r="K213" s="28" t="str">
        <f t="shared" ca="1" si="25"/>
        <v>No</v>
      </c>
    </row>
    <row r="214" spans="2:11" ht="11.25" hidden="1">
      <c r="B214" s="27">
        <v>212</v>
      </c>
      <c r="C214" s="29">
        <f t="shared" ca="1" si="22"/>
        <v>5.9897262642256588E-2</v>
      </c>
      <c r="D214" s="29">
        <f t="shared" ca="1" si="23"/>
        <v>3.9626522323281496E-2</v>
      </c>
      <c r="E214" s="29">
        <f t="shared" ca="1" si="24"/>
        <v>7.4629498743191011E-2</v>
      </c>
      <c r="F214" s="30">
        <f ca="1">'Single Simulation'!$AP$4*Results!C214</f>
        <v>113570.96364154502</v>
      </c>
      <c r="G214" s="30">
        <f ca="1">'Single Simulation'!$AP$5*Results!D214</f>
        <v>37480.698087846395</v>
      </c>
      <c r="H214" s="30">
        <f t="shared" ca="1" si="20"/>
        <v>76090.265553698628</v>
      </c>
      <c r="I214" s="30">
        <f t="shared" ca="1" si="21"/>
        <v>5678.5783775088221</v>
      </c>
      <c r="J214" s="25">
        <f ca="1">'Single Simulation'!$AP$7*Results!E214</f>
        <v>1042725.8998414694</v>
      </c>
      <c r="K214" s="28" t="str">
        <f t="shared" ca="1" si="25"/>
        <v>No</v>
      </c>
    </row>
    <row r="215" spans="2:11" ht="11.25" hidden="1">
      <c r="B215" s="27">
        <v>213</v>
      </c>
      <c r="C215" s="24">
        <f t="shared" ca="1" si="22"/>
        <v>3.2129774203600608E-2</v>
      </c>
      <c r="D215" s="24">
        <f t="shared" ca="1" si="23"/>
        <v>3.1395291997892226E-2</v>
      </c>
      <c r="E215" s="24">
        <f t="shared" ca="1" si="24"/>
        <v>4.7837553849960066E-2</v>
      </c>
      <c r="F215" s="25">
        <f ca="1">'Single Simulation'!$AP$4*Results!C215</f>
        <v>60921.138244368725</v>
      </c>
      <c r="G215" s="25">
        <f ca="1">'Single Simulation'!$AP$5*Results!D215</f>
        <v>29695.198865872459</v>
      </c>
      <c r="H215" s="25">
        <f t="shared" ca="1" si="20"/>
        <v>31225.939378496267</v>
      </c>
      <c r="I215" s="25">
        <f t="shared" ca="1" si="21"/>
        <v>1493.7725565344037</v>
      </c>
      <c r="J215" s="25">
        <f ca="1">'Single Simulation'!$AP$7*Results!E215</f>
        <v>668387.93271360942</v>
      </c>
      <c r="K215" s="28" t="str">
        <f t="shared" ca="1" si="25"/>
        <v>No</v>
      </c>
    </row>
    <row r="216" spans="2:11" ht="11.25" hidden="1">
      <c r="B216" s="27">
        <v>214</v>
      </c>
      <c r="C216" s="29">
        <f t="shared" ca="1" si="22"/>
        <v>5.6972953977549361E-2</v>
      </c>
      <c r="D216" s="29">
        <f t="shared" ca="1" si="23"/>
        <v>3.54915156455229E-2</v>
      </c>
      <c r="E216" s="29">
        <f t="shared" ca="1" si="24"/>
        <v>0.16783723123975683</v>
      </c>
      <c r="F216" s="30">
        <f ca="1">'Single Simulation'!$AP$4*Results!C216</f>
        <v>108026.19350706117</v>
      </c>
      <c r="G216" s="30">
        <f ca="1">'Single Simulation'!$AP$5*Results!D216</f>
        <v>33569.607035850582</v>
      </c>
      <c r="H216" s="30">
        <f t="shared" ca="1" si="20"/>
        <v>74456.586471210583</v>
      </c>
      <c r="I216" s="30">
        <f t="shared" ca="1" si="21"/>
        <v>12496.58732089152</v>
      </c>
      <c r="J216" s="25">
        <f ca="1">'Single Simulation'!$AP$7*Results!E216</f>
        <v>2345027.5148383398</v>
      </c>
      <c r="K216" s="28" t="str">
        <f t="shared" ca="1" si="25"/>
        <v>No</v>
      </c>
    </row>
    <row r="217" spans="2:11" ht="11.25" hidden="1">
      <c r="B217" s="27">
        <v>215</v>
      </c>
      <c r="C217" s="24">
        <f t="shared" ca="1" si="22"/>
        <v>8.1461006081060827E-2</v>
      </c>
      <c r="D217" s="24">
        <f t="shared" ca="1" si="23"/>
        <v>4.2567894671374527E-2</v>
      </c>
      <c r="E217" s="24">
        <f t="shared" ca="1" si="24"/>
        <v>4.3285997283658589E-2</v>
      </c>
      <c r="F217" s="25">
        <f ca="1">'Single Simulation'!$AP$4*Results!C217</f>
        <v>154457.89259339162</v>
      </c>
      <c r="G217" s="25">
        <f ca="1">'Single Simulation'!$AP$5*Results!D217</f>
        <v>40262.79155654434</v>
      </c>
      <c r="H217" s="25">
        <f t="shared" ca="1" si="20"/>
        <v>114195.10103684728</v>
      </c>
      <c r="I217" s="25">
        <f t="shared" ca="1" si="21"/>
        <v>4943.0488332880896</v>
      </c>
      <c r="J217" s="25">
        <f ca="1">'Single Simulation'!$AP$7*Results!E217</f>
        <v>604793.42925047223</v>
      </c>
      <c r="K217" s="28" t="str">
        <f t="shared" ca="1" si="25"/>
        <v>No</v>
      </c>
    </row>
    <row r="218" spans="2:11" ht="11.25" hidden="1">
      <c r="B218" s="27">
        <v>216</v>
      </c>
      <c r="C218" s="29">
        <f t="shared" ca="1" si="22"/>
        <v>6.2054976349172661E-2</v>
      </c>
      <c r="D218" s="29">
        <f t="shared" ca="1" si="23"/>
        <v>3.9000302033346528E-2</v>
      </c>
      <c r="E218" s="29">
        <f t="shared" ca="1" si="24"/>
        <v>3.0919374508558216E-2</v>
      </c>
      <c r="F218" s="30">
        <f ca="1">'Single Simulation'!$AP$4*Results!C218</f>
        <v>117662.19609770316</v>
      </c>
      <c r="G218" s="30">
        <f ca="1">'Single Simulation'!$AP$5*Results!D218</f>
        <v>36888.388385974162</v>
      </c>
      <c r="H218" s="30">
        <f t="shared" ca="1" si="20"/>
        <v>80773.807711728994</v>
      </c>
      <c r="I218" s="30">
        <f t="shared" ca="1" si="21"/>
        <v>2497.4756111212164</v>
      </c>
      <c r="J218" s="25">
        <f ca="1">'Single Simulation'!$AP$7*Results!E218</f>
        <v>432006.55437757826</v>
      </c>
      <c r="K218" s="28" t="str">
        <f t="shared" ca="1" si="25"/>
        <v>No</v>
      </c>
    </row>
    <row r="219" spans="2:11" ht="11.25" hidden="1">
      <c r="B219" s="27">
        <v>217</v>
      </c>
      <c r="C219" s="24">
        <f t="shared" ca="1" si="22"/>
        <v>3.5198444767791798E-2</v>
      </c>
      <c r="D219" s="24">
        <f t="shared" ca="1" si="23"/>
        <v>7.4580676560817308E-2</v>
      </c>
      <c r="E219" s="24">
        <f t="shared" ca="1" si="24"/>
        <v>7.7373243200659567E-2</v>
      </c>
      <c r="F219" s="25">
        <f ca="1">'Single Simulation'!$AP$4*Results!C219</f>
        <v>66739.632407535493</v>
      </c>
      <c r="G219" s="25">
        <f ca="1">'Single Simulation'!$AP$5*Results!D219</f>
        <v>70542.042487563725</v>
      </c>
      <c r="H219" s="25">
        <f t="shared" ca="1" si="20"/>
        <v>-3802.4100800282322</v>
      </c>
      <c r="I219" s="25">
        <f t="shared" ca="1" si="21"/>
        <v>-294.20479987066381</v>
      </c>
      <c r="J219" s="25">
        <f ca="1">'Single Simulation'!$AP$7*Results!E219</f>
        <v>1081061.590909071</v>
      </c>
      <c r="K219" s="28" t="str">
        <f t="shared" ca="1" si="25"/>
        <v>No</v>
      </c>
    </row>
    <row r="220" spans="2:11" ht="11.25" hidden="1">
      <c r="B220" s="27">
        <v>218</v>
      </c>
      <c r="C220" s="29">
        <f t="shared" ca="1" si="22"/>
        <v>6.2314987989268822E-2</v>
      </c>
      <c r="D220" s="29">
        <f t="shared" ca="1" si="23"/>
        <v>3.2120424356886931E-2</v>
      </c>
      <c r="E220" s="29">
        <f t="shared" ca="1" si="24"/>
        <v>4.1095732610421973E-2</v>
      </c>
      <c r="F220" s="30">
        <f ca="1">'Single Simulation'!$AP$4*Results!C220</f>
        <v>118155.20314378655</v>
      </c>
      <c r="G220" s="30">
        <f ca="1">'Single Simulation'!$AP$5*Results!D220</f>
        <v>30381.064428322799</v>
      </c>
      <c r="H220" s="30">
        <f t="shared" ca="1" si="20"/>
        <v>87774.138715463749</v>
      </c>
      <c r="I220" s="30">
        <f t="shared" ca="1" si="21"/>
        <v>3607.1425347607856</v>
      </c>
      <c r="J220" s="25">
        <f ca="1">'Single Simulation'!$AP$7*Results!E220</f>
        <v>574190.97659095994</v>
      </c>
      <c r="K220" s="28" t="str">
        <f t="shared" ca="1" si="25"/>
        <v>No</v>
      </c>
    </row>
    <row r="221" spans="2:11" ht="11.25" hidden="1">
      <c r="B221" s="27">
        <v>219</v>
      </c>
      <c r="C221" s="24">
        <f t="shared" ca="1" si="22"/>
        <v>7.8834946280582352E-2</v>
      </c>
      <c r="D221" s="24">
        <f t="shared" ca="1" si="23"/>
        <v>4.974505343742143E-2</v>
      </c>
      <c r="E221" s="24">
        <f t="shared" ca="1" si="24"/>
        <v>8.4982210941434738E-2</v>
      </c>
      <c r="F221" s="25">
        <f ca="1">'Single Simulation'!$AP$4*Results!C221</f>
        <v>149478.63095497651</v>
      </c>
      <c r="G221" s="25">
        <f ca="1">'Single Simulation'!$AP$5*Results!D221</f>
        <v>47051.298472294991</v>
      </c>
      <c r="H221" s="25">
        <f t="shared" ca="1" si="20"/>
        <v>102427.33248268152</v>
      </c>
      <c r="I221" s="25">
        <f t="shared" ca="1" si="21"/>
        <v>8704.5011752117116</v>
      </c>
      <c r="J221" s="25">
        <f ca="1">'Single Simulation'!$AP$7*Results!E221</f>
        <v>1187374.3474996865</v>
      </c>
      <c r="K221" s="28" t="str">
        <f t="shared" ca="1" si="25"/>
        <v>No</v>
      </c>
    </row>
    <row r="222" spans="2:11" ht="11.25" hidden="1">
      <c r="B222" s="27">
        <v>220</v>
      </c>
      <c r="C222" s="29">
        <f t="shared" ca="1" si="22"/>
        <v>2.955817698396945E-2</v>
      </c>
      <c r="D222" s="29">
        <f t="shared" ca="1" si="23"/>
        <v>5.7299331142043962E-2</v>
      </c>
      <c r="E222" s="29">
        <f t="shared" ca="1" si="24"/>
        <v>8.9634616912159126E-2</v>
      </c>
      <c r="F222" s="30">
        <f ca="1">'Single Simulation'!$AP$4*Results!C222</f>
        <v>56045.142890861775</v>
      </c>
      <c r="G222" s="30">
        <f ca="1">'Single Simulation'!$AP$5*Results!D222</f>
        <v>54196.502878798143</v>
      </c>
      <c r="H222" s="30">
        <f t="shared" ca="1" si="20"/>
        <v>1848.6400120636317</v>
      </c>
      <c r="I222" s="30">
        <f t="shared" ca="1" si="21"/>
        <v>165.70213928981286</v>
      </c>
      <c r="J222" s="25">
        <f ca="1">'Single Simulation'!$AP$7*Results!E222</f>
        <v>1252377.9222784066</v>
      </c>
      <c r="K222" s="28" t="str">
        <f t="shared" ca="1" si="25"/>
        <v>No</v>
      </c>
    </row>
    <row r="223" spans="2:11" ht="11.25" hidden="1">
      <c r="B223" s="27">
        <v>221</v>
      </c>
      <c r="C223" s="24">
        <f t="shared" ca="1" si="22"/>
        <v>3.328501293558532E-2</v>
      </c>
      <c r="D223" s="24">
        <f t="shared" ca="1" si="23"/>
        <v>4.1261377735261742E-2</v>
      </c>
      <c r="E223" s="24">
        <f t="shared" ca="1" si="24"/>
        <v>6.4123343578624634E-2</v>
      </c>
      <c r="F223" s="25">
        <f ca="1">'Single Simulation'!$AP$4*Results!C223</f>
        <v>63111.5818513021</v>
      </c>
      <c r="G223" s="25">
        <f ca="1">'Single Simulation'!$AP$5*Results!D223</f>
        <v>39027.02409682126</v>
      </c>
      <c r="H223" s="25">
        <f t="shared" ca="1" si="20"/>
        <v>24084.55775448084</v>
      </c>
      <c r="I223" s="25">
        <f t="shared" ca="1" si="21"/>
        <v>1544.3823718298031</v>
      </c>
      <c r="J223" s="25">
        <f ca="1">'Single Simulation'!$AP$7*Results!E223</f>
        <v>895933.54182839766</v>
      </c>
      <c r="K223" s="28" t="str">
        <f t="shared" ca="1" si="25"/>
        <v>No</v>
      </c>
    </row>
    <row r="224" spans="2:11" ht="11.25" hidden="1">
      <c r="B224" s="27">
        <v>222</v>
      </c>
      <c r="C224" s="29">
        <f t="shared" ca="1" si="22"/>
        <v>6.8874751695216688E-2</v>
      </c>
      <c r="D224" s="29">
        <f t="shared" ca="1" si="23"/>
        <v>5.3956565121314505E-2</v>
      </c>
      <c r="E224" s="29">
        <f t="shared" ca="1" si="24"/>
        <v>0.13272769906644283</v>
      </c>
      <c r="F224" s="30">
        <f ca="1">'Single Simulation'!$AP$4*Results!C224</f>
        <v>130593.14525467939</v>
      </c>
      <c r="G224" s="30">
        <f ca="1">'Single Simulation'!$AP$5*Results!D224</f>
        <v>51034.75169157215</v>
      </c>
      <c r="H224" s="30">
        <f t="shared" ca="1" si="20"/>
        <v>79558.393563107238</v>
      </c>
      <c r="I224" s="30">
        <f t="shared" ca="1" si="21"/>
        <v>10559.60251905372</v>
      </c>
      <c r="J224" s="25">
        <f ca="1">'Single Simulation'!$AP$7*Results!E224</f>
        <v>1854475.934766632</v>
      </c>
      <c r="K224" s="28" t="str">
        <f t="shared" ca="1" si="25"/>
        <v>No</v>
      </c>
    </row>
    <row r="225" spans="2:11" ht="11.25" hidden="1">
      <c r="B225" s="27">
        <v>223</v>
      </c>
      <c r="C225" s="24">
        <f t="shared" ca="1" si="22"/>
        <v>4.8389769281133185E-2</v>
      </c>
      <c r="D225" s="24">
        <f t="shared" ca="1" si="23"/>
        <v>6.6296870304820413E-2</v>
      </c>
      <c r="E225" s="24">
        <f t="shared" ca="1" si="24"/>
        <v>5.7146500069353845E-2</v>
      </c>
      <c r="F225" s="25">
        <f ca="1">'Single Simulation'!$AP$4*Results!C225</f>
        <v>91751.650830420709</v>
      </c>
      <c r="G225" s="25">
        <f ca="1">'Single Simulation'!$AP$5*Results!D225</f>
        <v>62706.814385378813</v>
      </c>
      <c r="H225" s="25">
        <f t="shared" ca="1" si="20"/>
        <v>29044.836445041896</v>
      </c>
      <c r="I225" s="25">
        <f t="shared" ca="1" si="21"/>
        <v>1659.8107479209577</v>
      </c>
      <c r="J225" s="25">
        <f ca="1">'Single Simulation'!$AP$7*Results!E225</f>
        <v>798452.84654339496</v>
      </c>
      <c r="K225" s="28" t="str">
        <f t="shared" ca="1" si="25"/>
        <v>No</v>
      </c>
    </row>
    <row r="226" spans="2:11" ht="11.25" hidden="1">
      <c r="B226" s="27">
        <v>224</v>
      </c>
      <c r="C226" s="29">
        <f t="shared" ca="1" si="22"/>
        <v>8.1039406392533E-2</v>
      </c>
      <c r="D226" s="29">
        <f t="shared" ca="1" si="23"/>
        <v>4.3881292820140097E-2</v>
      </c>
      <c r="E226" s="29">
        <f t="shared" ca="1" si="24"/>
        <v>1.1012679158840917E-2</v>
      </c>
      <c r="F226" s="30">
        <f ca="1">'Single Simulation'!$AP$4*Results!C226</f>
        <v>153658.49908549365</v>
      </c>
      <c r="G226" s="30">
        <f ca="1">'Single Simulation'!$AP$5*Results!D226</f>
        <v>41505.067602910807</v>
      </c>
      <c r="H226" s="30">
        <f t="shared" ca="1" si="20"/>
        <v>112153.43148258285</v>
      </c>
      <c r="I226" s="30">
        <f t="shared" ca="1" si="21"/>
        <v>1235.1097574807329</v>
      </c>
      <c r="J226" s="25">
        <f ca="1">'Single Simulation'!$AP$7*Results!E226</f>
        <v>153869.52852360523</v>
      </c>
      <c r="K226" s="28" t="str">
        <f t="shared" ca="1" si="25"/>
        <v>No</v>
      </c>
    </row>
    <row r="227" spans="2:11" ht="11.25" hidden="1">
      <c r="B227" s="27">
        <v>225</v>
      </c>
      <c r="C227" s="24">
        <f t="shared" ca="1" si="22"/>
        <v>3.9551650007288122E-2</v>
      </c>
      <c r="D227" s="24">
        <f t="shared" ca="1" si="23"/>
        <v>3.1939302175878988E-2</v>
      </c>
      <c r="E227" s="24">
        <f t="shared" ca="1" si="24"/>
        <v>4.7419862826472786E-2</v>
      </c>
      <c r="F227" s="25">
        <f ca="1">'Single Simulation'!$AP$4*Results!C227</f>
        <v>74993.727706211634</v>
      </c>
      <c r="G227" s="25">
        <f ca="1">'Single Simulation'!$AP$5*Results!D227</f>
        <v>30209.750233047514</v>
      </c>
      <c r="H227" s="25">
        <f t="shared" ca="1" si="20"/>
        <v>44783.977473164123</v>
      </c>
      <c r="I227" s="25">
        <f t="shared" ca="1" si="21"/>
        <v>2123.6500686012901</v>
      </c>
      <c r="J227" s="25">
        <f ca="1">'Single Simulation'!$AP$7*Results!E227</f>
        <v>662551.9394983768</v>
      </c>
      <c r="K227" s="28" t="str">
        <f t="shared" ca="1" si="25"/>
        <v>No</v>
      </c>
    </row>
    <row r="228" spans="2:11" ht="11.25" hidden="1">
      <c r="B228" s="27">
        <v>226</v>
      </c>
      <c r="C228" s="29">
        <f t="shared" ca="1" si="22"/>
        <v>5.6827013781313739E-2</v>
      </c>
      <c r="D228" s="29">
        <f t="shared" ca="1" si="23"/>
        <v>5.6036641193280966E-2</v>
      </c>
      <c r="E228" s="29">
        <f t="shared" ca="1" si="24"/>
        <v>0.10953867695056085</v>
      </c>
      <c r="F228" s="30">
        <f ca="1">'Single Simulation'!$AP$4*Results!C228</f>
        <v>107749.47687612748</v>
      </c>
      <c r="G228" s="30">
        <f ca="1">'Single Simulation'!$AP$5*Results!D228</f>
        <v>53002.189121914693</v>
      </c>
      <c r="H228" s="30">
        <f t="shared" ca="1" si="20"/>
        <v>54747.287754212783</v>
      </c>
      <c r="I228" s="30">
        <f t="shared" ca="1" si="21"/>
        <v>5996.9454672281099</v>
      </c>
      <c r="J228" s="25">
        <f ca="1">'Single Simulation'!$AP$7*Results!E228</f>
        <v>1530478.1274728659</v>
      </c>
      <c r="K228" s="28" t="str">
        <f t="shared" ca="1" si="25"/>
        <v>No</v>
      </c>
    </row>
    <row r="229" spans="2:11" ht="11.25" hidden="1">
      <c r="B229" s="27">
        <v>227</v>
      </c>
      <c r="C229" s="24">
        <f t="shared" ca="1" si="22"/>
        <v>7.1223328954498344E-2</v>
      </c>
      <c r="D229" s="24">
        <f t="shared" ca="1" si="23"/>
        <v>5.4449840581676956E-2</v>
      </c>
      <c r="E229" s="24">
        <f t="shared" ca="1" si="24"/>
        <v>2.3479387811377865E-2</v>
      </c>
      <c r="F229" s="25">
        <f ca="1">'Single Simulation'!$AP$4*Results!C229</f>
        <v>135046.2733402868</v>
      </c>
      <c r="G229" s="25">
        <f ca="1">'Single Simulation'!$AP$5*Results!D229</f>
        <v>51501.315687603827</v>
      </c>
      <c r="H229" s="25">
        <f t="shared" ca="1" si="20"/>
        <v>83544.957652682977</v>
      </c>
      <c r="I229" s="25">
        <f t="shared" ca="1" si="21"/>
        <v>1961.5844604124845</v>
      </c>
      <c r="J229" s="25">
        <f ca="1">'Single Simulation'!$AP$7*Results!E229</f>
        <v>328054.80668700772</v>
      </c>
      <c r="K229" s="28" t="str">
        <f t="shared" ca="1" si="25"/>
        <v>No</v>
      </c>
    </row>
    <row r="230" spans="2:11" ht="11.25" hidden="1">
      <c r="B230" s="27">
        <v>228</v>
      </c>
      <c r="C230" s="29">
        <f t="shared" ca="1" si="22"/>
        <v>7.9345822606332106E-2</v>
      </c>
      <c r="D230" s="29">
        <f t="shared" ca="1" si="23"/>
        <v>6.796599298362048E-2</v>
      </c>
      <c r="E230" s="29">
        <f t="shared" ca="1" si="24"/>
        <v>0.12618559560280959</v>
      </c>
      <c r="F230" s="30">
        <f ca="1">'Single Simulation'!$AP$4*Results!C230</f>
        <v>150447.30154287277</v>
      </c>
      <c r="G230" s="30">
        <f ca="1">'Single Simulation'!$AP$5*Results!D230</f>
        <v>64285.552047122277</v>
      </c>
      <c r="H230" s="30">
        <f t="shared" ca="1" si="20"/>
        <v>86161.749495750497</v>
      </c>
      <c r="I230" s="30">
        <f t="shared" ca="1" si="21"/>
        <v>10872.371678301355</v>
      </c>
      <c r="J230" s="25">
        <f ca="1">'Single Simulation'!$AP$7*Results!E230</f>
        <v>1763069.4422153828</v>
      </c>
      <c r="K230" s="28" t="str">
        <f t="shared" ca="1" si="25"/>
        <v>No</v>
      </c>
    </row>
    <row r="231" spans="2:11" ht="11.25" hidden="1">
      <c r="B231" s="27">
        <v>229</v>
      </c>
      <c r="C231" s="24">
        <f t="shared" ca="1" si="22"/>
        <v>3.8845148703914076E-2</v>
      </c>
      <c r="D231" s="24">
        <f t="shared" ca="1" si="23"/>
        <v>3.8916526558048795E-2</v>
      </c>
      <c r="E231" s="24">
        <f t="shared" ca="1" si="24"/>
        <v>0.10001913722779689</v>
      </c>
      <c r="F231" s="25">
        <f ca="1">'Single Simulation'!$AP$4*Results!C231</f>
        <v>73654.133369197792</v>
      </c>
      <c r="G231" s="25">
        <f ca="1">'Single Simulation'!$AP$5*Results!D231</f>
        <v>36809.149454251019</v>
      </c>
      <c r="H231" s="25">
        <f t="shared" ca="1" si="20"/>
        <v>36844.983914946773</v>
      </c>
      <c r="I231" s="25">
        <f t="shared" ca="1" si="21"/>
        <v>3685.2035023450303</v>
      </c>
      <c r="J231" s="25">
        <f ca="1">'Single Simulation'!$AP$7*Results!E231</f>
        <v>1397470.7940368857</v>
      </c>
      <c r="K231" s="28" t="str">
        <f t="shared" ca="1" si="25"/>
        <v>No</v>
      </c>
    </row>
    <row r="232" spans="2:11" ht="11.25" hidden="1">
      <c r="B232" s="27">
        <v>230</v>
      </c>
      <c r="C232" s="29">
        <f t="shared" ca="1" si="22"/>
        <v>6.5445510061550902E-2</v>
      </c>
      <c r="D232" s="29">
        <f t="shared" ca="1" si="23"/>
        <v>5.9647818052735918E-2</v>
      </c>
      <c r="E232" s="29">
        <f t="shared" ca="1" si="24"/>
        <v>7.6531409242397652E-2</v>
      </c>
      <c r="F232" s="30">
        <f ca="1">'Single Simulation'!$AP$4*Results!C232</f>
        <v>124090.97370768836</v>
      </c>
      <c r="G232" s="30">
        <f ca="1">'Single Simulation'!$AP$5*Results!D232</f>
        <v>56417.816375470771</v>
      </c>
      <c r="H232" s="30">
        <f t="shared" ca="1" si="20"/>
        <v>67673.157332217583</v>
      </c>
      <c r="I232" s="30">
        <f t="shared" ca="1" si="21"/>
        <v>5179.1220985171076</v>
      </c>
      <c r="J232" s="25">
        <f ca="1">'Single Simulation'!$AP$7*Results!E232</f>
        <v>1069299.4581542152</v>
      </c>
      <c r="K232" s="28" t="str">
        <f t="shared" ca="1" si="25"/>
        <v>No</v>
      </c>
    </row>
    <row r="233" spans="2:11" ht="11.25" hidden="1">
      <c r="B233" s="27">
        <v>231</v>
      </c>
      <c r="C233" s="24">
        <f t="shared" ca="1" si="22"/>
        <v>5.5162031617677451E-2</v>
      </c>
      <c r="D233" s="24">
        <f t="shared" ca="1" si="23"/>
        <v>5.6613523944375348E-2</v>
      </c>
      <c r="E233" s="24">
        <f t="shared" ca="1" si="24"/>
        <v>4.8355101171610418E-2</v>
      </c>
      <c r="F233" s="25">
        <f ca="1">'Single Simulation'!$AP$4*Results!C233</f>
        <v>104592.51075733267</v>
      </c>
      <c r="G233" s="25">
        <f ca="1">'Single Simulation'!$AP$5*Results!D233</f>
        <v>53547.832972501892</v>
      </c>
      <c r="H233" s="25">
        <f t="shared" ca="1" si="20"/>
        <v>51044.677784830776</v>
      </c>
      <c r="I233" s="25">
        <f t="shared" ca="1" si="21"/>
        <v>2468.2705585577469</v>
      </c>
      <c r="J233" s="25">
        <f ca="1">'Single Simulation'!$AP$7*Results!E233</f>
        <v>675619.12152991712</v>
      </c>
      <c r="K233" s="28" t="str">
        <f t="shared" ca="1" si="25"/>
        <v>No</v>
      </c>
    </row>
    <row r="234" spans="2:11" ht="11.25" hidden="1">
      <c r="B234" s="27">
        <v>232</v>
      </c>
      <c r="C234" s="29">
        <f t="shared" ca="1" si="22"/>
        <v>4.1944074531231793E-2</v>
      </c>
      <c r="D234" s="29">
        <f t="shared" ca="1" si="23"/>
        <v>4.7444589542188366E-2</v>
      </c>
      <c r="E234" s="29">
        <f t="shared" ca="1" si="24"/>
        <v>4.4457970450286641E-2</v>
      </c>
      <c r="F234" s="30">
        <f ca="1">'Single Simulation'!$AP$4*Results!C234</f>
        <v>79529.994417543116</v>
      </c>
      <c r="G234" s="30">
        <f ca="1">'Single Simulation'!$AP$5*Results!D234</f>
        <v>44875.407486560835</v>
      </c>
      <c r="H234" s="30">
        <f t="shared" ca="1" si="20"/>
        <v>34654.586930982281</v>
      </c>
      <c r="I234" s="30">
        <f t="shared" ca="1" si="21"/>
        <v>1540.6726017444998</v>
      </c>
      <c r="J234" s="25">
        <f ca="1">'Single Simulation'!$AP$7*Results!E234</f>
        <v>621168.27827588911</v>
      </c>
      <c r="K234" s="28" t="str">
        <f t="shared" ca="1" si="25"/>
        <v>No</v>
      </c>
    </row>
    <row r="235" spans="2:11" ht="11.25" hidden="1">
      <c r="B235" s="27">
        <v>233</v>
      </c>
      <c r="C235" s="24">
        <f t="shared" ca="1" si="22"/>
        <v>9.9265521083377772E-2</v>
      </c>
      <c r="D235" s="24">
        <f t="shared" ca="1" si="23"/>
        <v>3.4953809561947283E-2</v>
      </c>
      <c r="E235" s="24">
        <f t="shared" ca="1" si="24"/>
        <v>4.6734270163775876E-3</v>
      </c>
      <c r="F235" s="25">
        <f ca="1">'Single Simulation'!$AP$4*Results!C235</f>
        <v>188216.96332189161</v>
      </c>
      <c r="G235" s="25">
        <f ca="1">'Single Simulation'!$AP$5*Results!D235</f>
        <v>33061.018388729877</v>
      </c>
      <c r="H235" s="25">
        <f t="shared" ca="1" si="20"/>
        <v>155155.94493316172</v>
      </c>
      <c r="I235" s="25">
        <f t="shared" ca="1" si="21"/>
        <v>725.10998480223122</v>
      </c>
      <c r="J235" s="25">
        <f ca="1">'Single Simulation'!$AP$7*Results!E235</f>
        <v>65297.281544991776</v>
      </c>
      <c r="K235" s="28" t="str">
        <f t="shared" ca="1" si="25"/>
        <v>No</v>
      </c>
    </row>
    <row r="236" spans="2:11" ht="11.25" hidden="1">
      <c r="B236" s="27">
        <v>234</v>
      </c>
      <c r="C236" s="29">
        <f t="shared" ca="1" si="22"/>
        <v>7.5098175234571934E-2</v>
      </c>
      <c r="D236" s="29">
        <f t="shared" ca="1" si="23"/>
        <v>0.08</v>
      </c>
      <c r="E236" s="29">
        <f t="shared" ca="1" si="24"/>
        <v>0.13068659400700799</v>
      </c>
      <c r="F236" s="30">
        <f ca="1">'Single Simulation'!$AP$4*Results!C236</f>
        <v>142393.35410120877</v>
      </c>
      <c r="G236" s="30">
        <f ca="1">'Single Simulation'!$AP$5*Results!D236</f>
        <v>75667.90299097354</v>
      </c>
      <c r="H236" s="30">
        <f t="shared" ca="1" si="20"/>
        <v>66725.451110235226</v>
      </c>
      <c r="I236" s="30">
        <f t="shared" ca="1" si="21"/>
        <v>8720.1219391777722</v>
      </c>
      <c r="J236" s="25">
        <f ca="1">'Single Simulation'!$AP$7*Results!E236</f>
        <v>1825957.5453145746</v>
      </c>
      <c r="K236" s="28" t="str">
        <f t="shared" ca="1" si="25"/>
        <v>No</v>
      </c>
    </row>
    <row r="237" spans="2:11" ht="11.25" hidden="1">
      <c r="B237" s="27">
        <v>235</v>
      </c>
      <c r="C237" s="24">
        <f t="shared" ca="1" si="22"/>
        <v>3.8988620674555351E-2</v>
      </c>
      <c r="D237" s="24">
        <f t="shared" ca="1" si="23"/>
        <v>5.8539101301441299E-2</v>
      </c>
      <c r="E237" s="24">
        <f t="shared" ca="1" si="24"/>
        <v>7.287826203230649E-2</v>
      </c>
      <c r="F237" s="25">
        <f ca="1">'Single Simulation'!$AP$4*Results!C237</f>
        <v>73926.170007309294</v>
      </c>
      <c r="G237" s="25">
        <f ca="1">'Single Simulation'!$AP$5*Results!D237</f>
        <v>55369.137980702908</v>
      </c>
      <c r="H237" s="25">
        <f t="shared" ca="1" si="20"/>
        <v>18557.032026606386</v>
      </c>
      <c r="I237" s="25">
        <f t="shared" ca="1" si="21"/>
        <v>1352.4042425769237</v>
      </c>
      <c r="J237" s="25">
        <f ca="1">'Single Simulation'!$AP$7*Results!E237</f>
        <v>1018257.5608341799</v>
      </c>
      <c r="K237" s="28" t="str">
        <f t="shared" ca="1" si="25"/>
        <v>No</v>
      </c>
    </row>
    <row r="238" spans="2:11" ht="11.25" hidden="1">
      <c r="B238" s="27">
        <v>236</v>
      </c>
      <c r="C238" s="29">
        <f t="shared" ca="1" si="22"/>
        <v>6.1314020379572357E-2</v>
      </c>
      <c r="D238" s="29">
        <f t="shared" ca="1" si="23"/>
        <v>4.4336140704874627E-2</v>
      </c>
      <c r="E238" s="29">
        <f t="shared" ca="1" si="24"/>
        <v>0.10303878609119289</v>
      </c>
      <c r="F238" s="30">
        <f ca="1">'Single Simulation'!$AP$4*Results!C238</f>
        <v>116257.27240384316</v>
      </c>
      <c r="G238" s="30">
        <f ca="1">'Single Simulation'!$AP$5*Results!D238</f>
        <v>41935.284923132582</v>
      </c>
      <c r="H238" s="30">
        <f t="shared" ca="1" si="20"/>
        <v>74321.987480710581</v>
      </c>
      <c r="I238" s="30">
        <f t="shared" ca="1" si="21"/>
        <v>7658.0473698972537</v>
      </c>
      <c r="J238" s="25">
        <f ca="1">'Single Simulation'!$AP$7*Results!E238</f>
        <v>1439661.4308670326</v>
      </c>
      <c r="K238" s="28" t="str">
        <f t="shared" ca="1" si="25"/>
        <v>No</v>
      </c>
    </row>
    <row r="239" spans="2:11" ht="11.25" hidden="1">
      <c r="B239" s="27">
        <v>237</v>
      </c>
      <c r="C239" s="24">
        <f t="shared" ca="1" si="22"/>
        <v>0.02</v>
      </c>
      <c r="D239" s="24">
        <f t="shared" ca="1" si="23"/>
        <v>4.5301620031679771E-2</v>
      </c>
      <c r="E239" s="24">
        <f t="shared" ca="1" si="24"/>
        <v>0.10141412612886946</v>
      </c>
      <c r="F239" s="25">
        <f ca="1">'Single Simulation'!$AP$4*Results!C239</f>
        <v>37921.921180225181</v>
      </c>
      <c r="G239" s="25">
        <f ca="1">'Single Simulation'!$AP$5*Results!D239</f>
        <v>42848.482373638602</v>
      </c>
      <c r="H239" s="25">
        <f t="shared" ca="1" si="20"/>
        <v>-4926.5611934134213</v>
      </c>
      <c r="I239" s="25">
        <f t="shared" ca="1" si="21"/>
        <v>-499.62289825042239</v>
      </c>
      <c r="J239" s="25">
        <f ca="1">'Single Simulation'!$AP$7*Results!E239</f>
        <v>1416961.6265044224</v>
      </c>
      <c r="K239" s="28" t="str">
        <f t="shared" ca="1" si="25"/>
        <v>No</v>
      </c>
    </row>
    <row r="240" spans="2:11" ht="11.25" hidden="1">
      <c r="B240" s="27">
        <v>238</v>
      </c>
      <c r="C240" s="29">
        <f t="shared" ca="1" si="22"/>
        <v>6.1945412116789812E-2</v>
      </c>
      <c r="D240" s="29">
        <f t="shared" ca="1" si="23"/>
        <v>0.02</v>
      </c>
      <c r="E240" s="29">
        <f t="shared" ca="1" si="24"/>
        <v>5.4115173616096635E-2</v>
      </c>
      <c r="F240" s="30">
        <f ca="1">'Single Simulation'!$AP$4*Results!C240</f>
        <v>117454.45178847345</v>
      </c>
      <c r="G240" s="30">
        <f ca="1">'Single Simulation'!$AP$5*Results!D240</f>
        <v>18916.975747743385</v>
      </c>
      <c r="H240" s="30">
        <f t="shared" ca="1" si="20"/>
        <v>98537.476040730064</v>
      </c>
      <c r="I240" s="30">
        <f t="shared" ca="1" si="21"/>
        <v>5332.3726236360699</v>
      </c>
      <c r="J240" s="25">
        <f ca="1">'Single Simulation'!$AP$7*Results!E240</f>
        <v>756099.05002973066</v>
      </c>
      <c r="K240" s="28" t="str">
        <f t="shared" ca="1" si="25"/>
        <v>No</v>
      </c>
    </row>
    <row r="241" spans="2:11" ht="11.25" hidden="1">
      <c r="B241" s="27">
        <v>239</v>
      </c>
      <c r="C241" s="24">
        <f t="shared" ca="1" si="22"/>
        <v>0.02</v>
      </c>
      <c r="D241" s="24">
        <f t="shared" ca="1" si="23"/>
        <v>6.5100765418400444E-2</v>
      </c>
      <c r="E241" s="24">
        <f t="shared" ca="1" si="24"/>
        <v>-7.5470365264223432E-3</v>
      </c>
      <c r="F241" s="25">
        <f ca="1">'Single Simulation'!$AP$4*Results!C241</f>
        <v>37921.921180225181</v>
      </c>
      <c r="G241" s="25">
        <f ca="1">'Single Simulation'!$AP$5*Results!D241</f>
        <v>61575.480028970618</v>
      </c>
      <c r="H241" s="25">
        <f t="shared" ca="1" si="20"/>
        <v>-23653.558848745437</v>
      </c>
      <c r="I241" s="25">
        <f t="shared" ca="1" si="21"/>
        <v>178.51427261136223</v>
      </c>
      <c r="J241" s="25">
        <f ca="1">'Single Simulation'!$AP$7*Results!E241</f>
        <v>-105447.45155303841</v>
      </c>
      <c r="K241" s="28" t="str">
        <f t="shared" ca="1" si="25"/>
        <v>No</v>
      </c>
    </row>
    <row r="242" spans="2:11" ht="11.25" hidden="1">
      <c r="B242" s="27">
        <v>240</v>
      </c>
      <c r="C242" s="29">
        <f t="shared" ca="1" si="22"/>
        <v>7.0420706451713513E-2</v>
      </c>
      <c r="D242" s="29">
        <f t="shared" ca="1" si="23"/>
        <v>4.96197255588526E-2</v>
      </c>
      <c r="E242" s="29">
        <f t="shared" ca="1" si="24"/>
        <v>8.1567674102766316E-2</v>
      </c>
      <c r="F242" s="30">
        <f ca="1">'Single Simulation'!$AP$4*Results!C242</f>
        <v>133524.42397588273</v>
      </c>
      <c r="G242" s="30">
        <f ca="1">'Single Simulation'!$AP$5*Results!D242</f>
        <v>46932.757250324859</v>
      </c>
      <c r="H242" s="30">
        <f t="shared" ca="1" si="20"/>
        <v>86591.66672555788</v>
      </c>
      <c r="I242" s="30">
        <f t="shared" ca="1" si="21"/>
        <v>7063.080851485659</v>
      </c>
      <c r="J242" s="25">
        <f ca="1">'Single Simulation'!$AP$7*Results!E242</f>
        <v>1139666.3224211016</v>
      </c>
      <c r="K242" s="28" t="str">
        <f t="shared" ca="1" si="25"/>
        <v>No</v>
      </c>
    </row>
    <row r="243" spans="2:11" ht="11.25" hidden="1">
      <c r="B243" s="27">
        <v>241</v>
      </c>
      <c r="C243" s="24">
        <f t="shared" ca="1" si="22"/>
        <v>3.736471458229608E-2</v>
      </c>
      <c r="D243" s="24">
        <f t="shared" ca="1" si="23"/>
        <v>6.1639247344161083E-2</v>
      </c>
      <c r="E243" s="24">
        <f t="shared" ca="1" si="24"/>
        <v>7.2224875895776502E-2</v>
      </c>
      <c r="F243" s="25">
        <f ca="1">'Single Simulation'!$AP$4*Results!C243</f>
        <v>70847.088065572112</v>
      </c>
      <c r="G243" s="25">
        <f ca="1">'Single Simulation'!$AP$5*Results!D243</f>
        <v>58301.407355932548</v>
      </c>
      <c r="H243" s="25">
        <f t="shared" ref="H243:H306" ca="1" si="26">F243-G243</f>
        <v>12545.680709639564</v>
      </c>
      <c r="I243" s="25">
        <f t="shared" ref="I243:I306" ca="1" si="27">H243*E243</f>
        <v>906.11023228175475</v>
      </c>
      <c r="J243" s="25">
        <f ca="1">'Single Simulation'!$AP$7*Results!E243</f>
        <v>1009128.4274669357</v>
      </c>
      <c r="K243" s="28" t="str">
        <f t="shared" ca="1" si="25"/>
        <v>No</v>
      </c>
    </row>
    <row r="244" spans="2:11" ht="11.25" hidden="1">
      <c r="B244" s="27">
        <v>242</v>
      </c>
      <c r="C244" s="29">
        <f t="shared" ca="1" si="22"/>
        <v>4.8773289555214039E-2</v>
      </c>
      <c r="D244" s="29">
        <f t="shared" ca="1" si="23"/>
        <v>5.6863770458004587E-2</v>
      </c>
      <c r="E244" s="29">
        <f t="shared" ca="1" si="24"/>
        <v>7.821897400140207E-2</v>
      </c>
      <c r="F244" s="30">
        <f ca="1">'Single Simulation'!$AP$4*Results!C244</f>
        <v>92478.842110656333</v>
      </c>
      <c r="G244" s="30">
        <f ca="1">'Single Simulation'!$AP$5*Results!D244</f>
        <v>53784.528333965973</v>
      </c>
      <c r="H244" s="30">
        <f t="shared" ca="1" si="26"/>
        <v>38694.31377669036</v>
      </c>
      <c r="I244" s="30">
        <f t="shared" ca="1" si="27"/>
        <v>3026.6295233010374</v>
      </c>
      <c r="J244" s="25">
        <f ca="1">'Single Simulation'!$AP$7*Results!E244</f>
        <v>1092878.1704798716</v>
      </c>
      <c r="K244" s="28" t="str">
        <f t="shared" ca="1" si="25"/>
        <v>No</v>
      </c>
    </row>
    <row r="245" spans="2:11" ht="11.25" hidden="1">
      <c r="B245" s="27">
        <v>243</v>
      </c>
      <c r="C245" s="24">
        <f t="shared" ca="1" si="22"/>
        <v>4.8365428664449497E-2</v>
      </c>
      <c r="D245" s="24">
        <f t="shared" ca="1" si="23"/>
        <v>3.2566042274664399E-2</v>
      </c>
      <c r="E245" s="24">
        <f t="shared" ca="1" si="24"/>
        <v>5.655933699473481E-3</v>
      </c>
      <c r="F245" s="25">
        <f ca="1">'Single Simulation'!$AP$4*Results!C245</f>
        <v>91705.498683052865</v>
      </c>
      <c r="G245" s="25">
        <f ca="1">'Single Simulation'!$AP$5*Results!D245</f>
        <v>30802.551595490611</v>
      </c>
      <c r="H245" s="25">
        <f t="shared" ca="1" si="26"/>
        <v>60902.94708756225</v>
      </c>
      <c r="I245" s="25">
        <f t="shared" ca="1" si="27"/>
        <v>344.46303082979364</v>
      </c>
      <c r="J245" s="25">
        <f ca="1">'Single Simulation'!$AP$7*Results!E245</f>
        <v>79024.898405407759</v>
      </c>
      <c r="K245" s="28" t="str">
        <f t="shared" ca="1" si="25"/>
        <v>No</v>
      </c>
    </row>
    <row r="246" spans="2:11" ht="11.25" hidden="1">
      <c r="B246" s="27">
        <v>244</v>
      </c>
      <c r="C246" s="29">
        <f t="shared" ca="1" si="22"/>
        <v>0.02</v>
      </c>
      <c r="D246" s="29">
        <f t="shared" ca="1" si="23"/>
        <v>6.0784759609631631E-2</v>
      </c>
      <c r="E246" s="29">
        <f t="shared" ca="1" si="24"/>
        <v>7.5137218246157475E-2</v>
      </c>
      <c r="F246" s="30">
        <f ca="1">'Single Simulation'!$AP$4*Results!C246</f>
        <v>37921.921180225181</v>
      </c>
      <c r="G246" s="30">
        <f ca="1">'Single Simulation'!$AP$5*Results!D246</f>
        <v>57493.191168390658</v>
      </c>
      <c r="H246" s="30">
        <f t="shared" ca="1" si="26"/>
        <v>-19571.269988165477</v>
      </c>
      <c r="I246" s="30">
        <f t="shared" ca="1" si="27"/>
        <v>-1470.5307844552613</v>
      </c>
      <c r="J246" s="25">
        <f ca="1">'Single Simulation'!$AP$7*Results!E246</f>
        <v>1049819.7740401898</v>
      </c>
      <c r="K246" s="28" t="str">
        <f t="shared" ca="1" si="25"/>
        <v>No</v>
      </c>
    </row>
    <row r="247" spans="2:11" ht="11.25" hidden="1">
      <c r="B247" s="27">
        <v>245</v>
      </c>
      <c r="C247" s="24">
        <f t="shared" ca="1" si="22"/>
        <v>2.5947375720642131E-2</v>
      </c>
      <c r="D247" s="24">
        <f t="shared" ca="1" si="23"/>
        <v>6.6145208150932014E-2</v>
      </c>
      <c r="E247" s="24">
        <f t="shared" ca="1" si="24"/>
        <v>7.9049290851555473E-2</v>
      </c>
      <c r="F247" s="25">
        <f ca="1">'Single Simulation'!$AP$4*Results!C247</f>
        <v>49198.716845593968</v>
      </c>
      <c r="G247" s="25">
        <f ca="1">'Single Simulation'!$AP$5*Results!D247</f>
        <v>62563.364921030945</v>
      </c>
      <c r="H247" s="25">
        <f t="shared" ca="1" si="26"/>
        <v>-13364.648075436977</v>
      </c>
      <c r="I247" s="25">
        <f t="shared" ca="1" si="27"/>
        <v>-1056.4659528438988</v>
      </c>
      <c r="J247" s="25">
        <f ca="1">'Single Simulation'!$AP$7*Results!E247</f>
        <v>1104479.3858077279</v>
      </c>
      <c r="K247" s="28" t="str">
        <f t="shared" ca="1" si="25"/>
        <v>No</v>
      </c>
    </row>
    <row r="248" spans="2:11" ht="11.25" hidden="1">
      <c r="B248" s="27">
        <v>246</v>
      </c>
      <c r="C248" s="29">
        <f t="shared" ca="1" si="22"/>
        <v>3.6325667702934335E-2</v>
      </c>
      <c r="D248" s="29">
        <f t="shared" ca="1" si="23"/>
        <v>3.5190782316183826E-2</v>
      </c>
      <c r="E248" s="29">
        <f t="shared" ca="1" si="24"/>
        <v>7.1761390879692272E-2</v>
      </c>
      <c r="F248" s="30">
        <f ca="1">'Single Simulation'!$AP$4*Results!C248</f>
        <v>68876.955372486365</v>
      </c>
      <c r="G248" s="30">
        <f ca="1">'Single Simulation'!$AP$5*Results!D248</f>
        <v>33285.158780968311</v>
      </c>
      <c r="H248" s="30">
        <f t="shared" ca="1" si="26"/>
        <v>35591.796591518054</v>
      </c>
      <c r="I248" s="30">
        <f t="shared" ca="1" si="27"/>
        <v>2554.1168273144262</v>
      </c>
      <c r="J248" s="25">
        <f ca="1">'Single Simulation'!$AP$7*Results!E248</f>
        <v>1002652.5990264618</v>
      </c>
      <c r="K248" s="28" t="str">
        <f t="shared" ca="1" si="25"/>
        <v>No</v>
      </c>
    </row>
    <row r="249" spans="2:11" ht="11.25" hidden="1">
      <c r="B249" s="27">
        <v>247</v>
      </c>
      <c r="C249" s="24">
        <f t="shared" ca="1" si="22"/>
        <v>6.9058147726962643E-2</v>
      </c>
      <c r="D249" s="24">
        <f t="shared" ca="1" si="23"/>
        <v>5.096387666022309E-2</v>
      </c>
      <c r="E249" s="24">
        <f t="shared" ca="1" si="24"/>
        <v>9.4355439843390745E-2</v>
      </c>
      <c r="F249" s="25">
        <f ca="1">'Single Simulation'!$AP$4*Results!C249</f>
        <v>130940.88174771119</v>
      </c>
      <c r="G249" s="25">
        <f ca="1">'Single Simulation'!$AP$5*Results!D249</f>
        <v>48204.120939621265</v>
      </c>
      <c r="H249" s="25">
        <f t="shared" ca="1" si="26"/>
        <v>82736.760808089923</v>
      </c>
      <c r="I249" s="25">
        <f t="shared" ca="1" si="27"/>
        <v>7806.6634572647381</v>
      </c>
      <c r="J249" s="25">
        <f ca="1">'Single Simulation'!$AP$7*Results!E249</f>
        <v>1318337.4211610095</v>
      </c>
      <c r="K249" s="28" t="str">
        <f t="shared" ca="1" si="25"/>
        <v>No</v>
      </c>
    </row>
    <row r="250" spans="2:11" ht="11.25" hidden="1">
      <c r="B250" s="27">
        <v>248</v>
      </c>
      <c r="C250" s="29">
        <f t="shared" ca="1" si="22"/>
        <v>2.3214360237396404E-2</v>
      </c>
      <c r="D250" s="29">
        <f t="shared" ca="1" si="23"/>
        <v>5.8138566583172006E-2</v>
      </c>
      <c r="E250" s="29">
        <f t="shared" ca="1" si="24"/>
        <v>9.8423611230621266E-2</v>
      </c>
      <c r="F250" s="30">
        <f ca="1">'Single Simulation'!$AP$4*Results!C250</f>
        <v>44016.656958594998</v>
      </c>
      <c r="G250" s="30">
        <f ca="1">'Single Simulation'!$AP$5*Results!D250</f>
        <v>54990.292703121442</v>
      </c>
      <c r="H250" s="30">
        <f t="shared" ca="1" si="26"/>
        <v>-10973.635744526444</v>
      </c>
      <c r="I250" s="30">
        <f t="shared" ca="1" si="27"/>
        <v>-1080.0648583057198</v>
      </c>
      <c r="J250" s="25">
        <f ca="1">'Single Simulation'!$AP$7*Results!E250</f>
        <v>1375178.0504282173</v>
      </c>
      <c r="K250" s="28" t="str">
        <f t="shared" ca="1" si="25"/>
        <v>No</v>
      </c>
    </row>
    <row r="251" spans="2:11" ht="11.25" hidden="1">
      <c r="B251" s="27">
        <v>249</v>
      </c>
      <c r="C251" s="24">
        <f t="shared" ca="1" si="22"/>
        <v>2.2979626194005114E-2</v>
      </c>
      <c r="D251" s="24">
        <f t="shared" ca="1" si="23"/>
        <v>4.3728984972550622E-2</v>
      </c>
      <c r="E251" s="24">
        <f t="shared" ca="1" si="24"/>
        <v>-8.5844914534856792E-3</v>
      </c>
      <c r="F251" s="25">
        <f ca="1">'Single Simulation'!$AP$4*Results!C251</f>
        <v>43571.578664004992</v>
      </c>
      <c r="G251" s="25">
        <f ca="1">'Single Simulation'!$AP$5*Results!D251</f>
        <v>41361.007409958751</v>
      </c>
      <c r="H251" s="25">
        <f t="shared" ca="1" si="26"/>
        <v>2210.5712540462409</v>
      </c>
      <c r="I251" s="25">
        <f t="shared" ca="1" si="27"/>
        <v>-18.976630037681076</v>
      </c>
      <c r="J251" s="25">
        <f ca="1">'Single Simulation'!$AP$7*Results!E251</f>
        <v>-119942.80715082449</v>
      </c>
      <c r="K251" s="28" t="str">
        <f t="shared" ca="1" si="25"/>
        <v>No</v>
      </c>
    </row>
    <row r="252" spans="2:11" ht="11.25" hidden="1">
      <c r="B252" s="27">
        <v>250</v>
      </c>
      <c r="C252" s="29">
        <f t="shared" ca="1" si="22"/>
        <v>6.8620155760096252E-2</v>
      </c>
      <c r="D252" s="29">
        <f t="shared" ca="1" si="23"/>
        <v>2.1802331464410289E-2</v>
      </c>
      <c r="E252" s="29">
        <f t="shared" ca="1" si="24"/>
        <v>1.2036534675845319E-2</v>
      </c>
      <c r="F252" s="30">
        <f ca="1">'Single Simulation'!$AP$4*Results!C252</f>
        <v>130110.40690545723</v>
      </c>
      <c r="G252" s="30">
        <f ca="1">'Single Simulation'!$AP$5*Results!D252</f>
        <v>20621.708777825595</v>
      </c>
      <c r="H252" s="30">
        <f t="shared" ca="1" si="26"/>
        <v>109488.69812763164</v>
      </c>
      <c r="I252" s="30">
        <f t="shared" ca="1" si="27"/>
        <v>1317.8645116263986</v>
      </c>
      <c r="J252" s="25">
        <f ca="1">'Single Simulation'!$AP$7*Results!E252</f>
        <v>168174.87270057484</v>
      </c>
      <c r="K252" s="28" t="str">
        <f t="shared" ca="1" si="25"/>
        <v>No</v>
      </c>
    </row>
    <row r="253" spans="2:11" ht="11.25" hidden="1">
      <c r="B253" s="27">
        <v>251</v>
      </c>
      <c r="C253" s="24">
        <f t="shared" ca="1" si="22"/>
        <v>7.6050667769346755E-2</v>
      </c>
      <c r="D253" s="24">
        <f t="shared" ca="1" si="23"/>
        <v>5.1986942480252533E-2</v>
      </c>
      <c r="E253" s="24">
        <f t="shared" ca="1" si="24"/>
        <v>0.11420234952273789</v>
      </c>
      <c r="F253" s="25">
        <f ca="1">'Single Simulation'!$AP$4*Results!C253</f>
        <v>144199.37144263295</v>
      </c>
      <c r="G253" s="25">
        <f ca="1">'Single Simulation'!$AP$5*Results!D253</f>
        <v>49171.786504913376</v>
      </c>
      <c r="H253" s="25">
        <f t="shared" ca="1" si="26"/>
        <v>95027.58493771957</v>
      </c>
      <c r="I253" s="25">
        <f t="shared" ca="1" si="27"/>
        <v>10852.373469359112</v>
      </c>
      <c r="J253" s="25">
        <f ca="1">'Single Simulation'!$AP$7*Results!E253</f>
        <v>1595639.1195910524</v>
      </c>
      <c r="K253" s="28" t="str">
        <f t="shared" ca="1" si="25"/>
        <v>No</v>
      </c>
    </row>
    <row r="254" spans="2:11" ht="11.25" hidden="1">
      <c r="B254" s="27">
        <v>252</v>
      </c>
      <c r="C254" s="29">
        <f t="shared" ca="1" si="22"/>
        <v>8.9556452076260035E-2</v>
      </c>
      <c r="D254" s="29">
        <f t="shared" ca="1" si="23"/>
        <v>4.526656928945598E-2</v>
      </c>
      <c r="E254" s="29">
        <f t="shared" ca="1" si="24"/>
        <v>0.10438364576354196</v>
      </c>
      <c r="F254" s="30">
        <f ca="1">'Single Simulation'!$AP$4*Results!C254</f>
        <v>169807.63584082734</v>
      </c>
      <c r="G254" s="30">
        <f ca="1">'Single Simulation'!$AP$5*Results!D254</f>
        <v>42815.329671609208</v>
      </c>
      <c r="H254" s="30">
        <f t="shared" ca="1" si="26"/>
        <v>126992.30616921812</v>
      </c>
      <c r="I254" s="30">
        <f t="shared" ca="1" si="27"/>
        <v>13255.91990186293</v>
      </c>
      <c r="J254" s="25">
        <f ca="1">'Single Simulation'!$AP$7*Results!E254</f>
        <v>1458451.8560424212</v>
      </c>
      <c r="K254" s="28" t="str">
        <f t="shared" ca="1" si="25"/>
        <v>No</v>
      </c>
    </row>
    <row r="255" spans="2:11" ht="11.25" hidden="1">
      <c r="B255" s="27">
        <v>253</v>
      </c>
      <c r="C255" s="24">
        <f t="shared" ca="1" si="22"/>
        <v>6.7556343119816398E-2</v>
      </c>
      <c r="D255" s="24">
        <f t="shared" ca="1" si="23"/>
        <v>6.310547744984206E-2</v>
      </c>
      <c r="E255" s="24">
        <f t="shared" ca="1" si="24"/>
        <v>2.9461454222185955E-2</v>
      </c>
      <c r="F255" s="25">
        <f ca="1">'Single Simulation'!$AP$4*Results!C255</f>
        <v>128093.31595069624</v>
      </c>
      <c r="G255" s="25">
        <f ca="1">'Single Simulation'!$AP$5*Results!D255</f>
        <v>59688.239323421461</v>
      </c>
      <c r="H255" s="25">
        <f t="shared" ca="1" si="26"/>
        <v>68405.076627274771</v>
      </c>
      <c r="I255" s="25">
        <f t="shared" ca="1" si="27"/>
        <v>2015.3130336195782</v>
      </c>
      <c r="J255" s="25">
        <f ca="1">'Single Simulation'!$AP$7*Results!E255</f>
        <v>411636.44244990905</v>
      </c>
      <c r="K255" s="28" t="str">
        <f t="shared" ca="1" si="25"/>
        <v>No</v>
      </c>
    </row>
    <row r="256" spans="2:11" ht="11.25" hidden="1">
      <c r="B256" s="27">
        <v>254</v>
      </c>
      <c r="C256" s="29">
        <f t="shared" ca="1" si="22"/>
        <v>4.4781670563813852E-2</v>
      </c>
      <c r="D256" s="29">
        <f t="shared" ca="1" si="23"/>
        <v>6.8919263398730238E-2</v>
      </c>
      <c r="E256" s="29">
        <f t="shared" ca="1" si="24"/>
        <v>0.1488855372220147</v>
      </c>
      <c r="F256" s="30">
        <f ca="1">'Single Simulation'!$AP$4*Results!C256</f>
        <v>84910.349071987948</v>
      </c>
      <c r="G256" s="30">
        <f ca="1">'Single Simulation'!$AP$5*Results!D256</f>
        <v>65187.201713305905</v>
      </c>
      <c r="H256" s="30">
        <f t="shared" ca="1" si="26"/>
        <v>19723.147358682043</v>
      </c>
      <c r="I256" s="30">
        <f t="shared" ca="1" si="27"/>
        <v>2936.4913902063363</v>
      </c>
      <c r="J256" s="25">
        <f ca="1">'Single Simulation'!$AP$7*Results!E256</f>
        <v>2080233.800141531</v>
      </c>
      <c r="K256" s="28" t="str">
        <f t="shared" ca="1" si="25"/>
        <v>No</v>
      </c>
    </row>
    <row r="257" spans="2:11" ht="11.25" hidden="1">
      <c r="B257" s="27">
        <v>255</v>
      </c>
      <c r="C257" s="24">
        <f t="shared" ca="1" si="22"/>
        <v>4.5065410159975561E-2</v>
      </c>
      <c r="D257" s="24">
        <f t="shared" ca="1" si="23"/>
        <v>0.08</v>
      </c>
      <c r="E257" s="24">
        <f t="shared" ca="1" si="24"/>
        <v>9.5305566373155515E-2</v>
      </c>
      <c r="F257" s="25">
        <f ca="1">'Single Simulation'!$AP$4*Results!C257</f>
        <v>85448.346602055608</v>
      </c>
      <c r="G257" s="25">
        <f ca="1">'Single Simulation'!$AP$5*Results!D257</f>
        <v>75667.90299097354</v>
      </c>
      <c r="H257" s="25">
        <f t="shared" ca="1" si="26"/>
        <v>9780.4436110820679</v>
      </c>
      <c r="I257" s="25">
        <f t="shared" ca="1" si="27"/>
        <v>932.13071773488684</v>
      </c>
      <c r="J257" s="25">
        <f ca="1">'Single Simulation'!$AP$7*Results!E257</f>
        <v>1331612.6214155552</v>
      </c>
      <c r="K257" s="28" t="str">
        <f t="shared" ca="1" si="25"/>
        <v>No</v>
      </c>
    </row>
    <row r="258" spans="2:11" ht="11.25" hidden="1">
      <c r="B258" s="27">
        <v>256</v>
      </c>
      <c r="C258" s="29">
        <f t="shared" ca="1" si="22"/>
        <v>0.10655667084473244</v>
      </c>
      <c r="D258" s="29">
        <f t="shared" ca="1" si="23"/>
        <v>0.02</v>
      </c>
      <c r="E258" s="29">
        <f t="shared" ca="1" si="24"/>
        <v>0.17113659899015091</v>
      </c>
      <c r="F258" s="30">
        <f ca="1">'Single Simulation'!$AP$4*Results!C258</f>
        <v>202041.68365005709</v>
      </c>
      <c r="G258" s="30">
        <f ca="1">'Single Simulation'!$AP$5*Results!D258</f>
        <v>18916.975747743385</v>
      </c>
      <c r="H258" s="30">
        <f t="shared" ca="1" si="26"/>
        <v>183124.7079023137</v>
      </c>
      <c r="I258" s="30">
        <f t="shared" ca="1" si="27"/>
        <v>31339.339701466779</v>
      </c>
      <c r="J258" s="25">
        <f ca="1">'Single Simulation'!$AP$7*Results!E258</f>
        <v>2391126.3934905492</v>
      </c>
      <c r="K258" s="28" t="str">
        <f t="shared" ca="1" si="25"/>
        <v>No</v>
      </c>
    </row>
    <row r="259" spans="2:11" ht="11.25" hidden="1">
      <c r="B259" s="27">
        <v>257</v>
      </c>
      <c r="C259" s="24">
        <f t="shared" ca="1" si="22"/>
        <v>7.0374118772607061E-2</v>
      </c>
      <c r="D259" s="24">
        <f t="shared" ca="1" si="23"/>
        <v>3.8954838187509999E-2</v>
      </c>
      <c r="E259" s="24">
        <f t="shared" ca="1" si="24"/>
        <v>9.7206368851810818E-2</v>
      </c>
      <c r="F259" s="25">
        <f ca="1">'Single Simulation'!$AP$4*Results!C259</f>
        <v>133436.08926113049</v>
      </c>
      <c r="G259" s="25">
        <f ca="1">'Single Simulation'!$AP$5*Results!D259</f>
        <v>36845.386462519724</v>
      </c>
      <c r="H259" s="25">
        <f t="shared" ca="1" si="26"/>
        <v>96590.702798610757</v>
      </c>
      <c r="I259" s="25">
        <f t="shared" ca="1" si="27"/>
        <v>9389.2314838973925</v>
      </c>
      <c r="J259" s="25">
        <f ca="1">'Single Simulation'!$AP$7*Results!E259</f>
        <v>1358170.6984273961</v>
      </c>
      <c r="K259" s="28" t="str">
        <f t="shared" ca="1" si="25"/>
        <v>No</v>
      </c>
    </row>
    <row r="260" spans="2:11" ht="11.25" hidden="1">
      <c r="B260" s="27">
        <v>258</v>
      </c>
      <c r="C260" s="29">
        <f t="shared" ref="C260:C323" ca="1" si="28">MAX(0.02,MIN(0.12,_xlfn.NORM.INV(RAND(),0.06,0.02)))</f>
        <v>4.2957277821054692E-2</v>
      </c>
      <c r="D260" s="29">
        <f t="shared" ref="D260:D323" ca="1" si="29">MAX(0.02,MIN(0.08,_xlfn.NORM.INV(RAND(),0.05,0.015)))</f>
        <v>4.3896596005680862E-2</v>
      </c>
      <c r="E260" s="29">
        <f t="shared" ref="E260:E323" ca="1" si="30">MAX(-0.1,MIN(0.25,_xlfn.NORM.INV(RAND(),0.07,0.04)))</f>
        <v>2.6757527479759936E-2</v>
      </c>
      <c r="F260" s="30">
        <f ca="1">'Single Simulation'!$AP$4*Results!C260</f>
        <v>81451.125182353557</v>
      </c>
      <c r="G260" s="30">
        <f ca="1">'Single Simulation'!$AP$5*Results!D260</f>
        <v>41519.542102397696</v>
      </c>
      <c r="H260" s="30">
        <f t="shared" ca="1" si="26"/>
        <v>39931.583079955861</v>
      </c>
      <c r="I260" s="30">
        <f t="shared" ca="1" si="27"/>
        <v>1068.4704315722358</v>
      </c>
      <c r="J260" s="25">
        <f ca="1">'Single Simulation'!$AP$7*Results!E260</f>
        <v>373857.08585388446</v>
      </c>
      <c r="K260" s="28" t="str">
        <f t="shared" ref="K260:K323" ca="1" si="31">IF(J260&gt;$N$4,"Yes","No")</f>
        <v>No</v>
      </c>
    </row>
    <row r="261" spans="2:11" ht="11.25" hidden="1">
      <c r="B261" s="27">
        <v>259</v>
      </c>
      <c r="C261" s="24">
        <f t="shared" ca="1" si="28"/>
        <v>6.187409476506936E-2</v>
      </c>
      <c r="D261" s="24">
        <f t="shared" ca="1" si="29"/>
        <v>5.0983240251336562E-2</v>
      </c>
      <c r="E261" s="24">
        <f t="shared" ca="1" si="30"/>
        <v>0.12394531987032484</v>
      </c>
      <c r="F261" s="25">
        <f ca="1">'Single Simulation'!$AP$4*Results!C261</f>
        <v>117319.22723893718</v>
      </c>
      <c r="G261" s="25">
        <f ca="1">'Single Simulation'!$AP$5*Results!D261</f>
        <v>48222.435968795406</v>
      </c>
      <c r="H261" s="25">
        <f t="shared" ca="1" si="26"/>
        <v>69096.791270141781</v>
      </c>
      <c r="I261" s="25">
        <f t="shared" ca="1" si="27"/>
        <v>8564.2238959907918</v>
      </c>
      <c r="J261" s="25">
        <f ca="1">'Single Simulation'!$AP$7*Results!E261</f>
        <v>1731768.2333316598</v>
      </c>
      <c r="K261" s="28" t="str">
        <f t="shared" ca="1" si="31"/>
        <v>No</v>
      </c>
    </row>
    <row r="262" spans="2:11" ht="11.25" hidden="1">
      <c r="B262" s="27">
        <v>260</v>
      </c>
      <c r="C262" s="29">
        <f t="shared" ca="1" si="28"/>
        <v>2.0526940349471022E-2</v>
      </c>
      <c r="D262" s="29">
        <f t="shared" ca="1" si="29"/>
        <v>4.7313754459525799E-2</v>
      </c>
      <c r="E262" s="29">
        <f t="shared" ca="1" si="30"/>
        <v>1.6259390308623806E-2</v>
      </c>
      <c r="F262" s="30">
        <f ca="1">'Single Simulation'!$AP$4*Results!C262</f>
        <v>38921.050700191197</v>
      </c>
      <c r="G262" s="30">
        <f ca="1">'Single Simulation'!$AP$5*Results!D262</f>
        <v>44751.657282276748</v>
      </c>
      <c r="H262" s="30">
        <f t="shared" ca="1" si="26"/>
        <v>-5830.6065820855511</v>
      </c>
      <c r="I262" s="30">
        <f t="shared" ca="1" si="27"/>
        <v>-94.802108154159981</v>
      </c>
      <c r="J262" s="25">
        <f ca="1">'Single Simulation'!$AP$7*Results!E262</f>
        <v>227176.75551827645</v>
      </c>
      <c r="K262" s="28" t="str">
        <f t="shared" ca="1" si="31"/>
        <v>No</v>
      </c>
    </row>
    <row r="263" spans="2:11" ht="11.25" hidden="1">
      <c r="B263" s="27">
        <v>261</v>
      </c>
      <c r="C263" s="24">
        <f t="shared" ca="1" si="28"/>
        <v>5.9979607170753658E-2</v>
      </c>
      <c r="D263" s="24">
        <f t="shared" ca="1" si="29"/>
        <v>4.7427511672227599E-2</v>
      </c>
      <c r="E263" s="24">
        <f t="shared" ca="1" si="30"/>
        <v>4.9031412010667699E-2</v>
      </c>
      <c r="F263" s="25">
        <f ca="1">'Single Simulation'!$AP$4*Results!C263</f>
        <v>113727.09677750946</v>
      </c>
      <c r="G263" s="25">
        <f ca="1">'Single Simulation'!$AP$5*Results!D263</f>
        <v>44859.254403967287</v>
      </c>
      <c r="H263" s="25">
        <f t="shared" ca="1" si="26"/>
        <v>68867.842373542167</v>
      </c>
      <c r="I263" s="25">
        <f t="shared" ca="1" si="27"/>
        <v>3376.6875537028654</v>
      </c>
      <c r="J263" s="25">
        <f ca="1">'Single Simulation'!$AP$7*Results!E263</f>
        <v>685068.55962215515</v>
      </c>
      <c r="K263" s="28" t="str">
        <f t="shared" ca="1" si="31"/>
        <v>No</v>
      </c>
    </row>
    <row r="264" spans="2:11" ht="11.25" hidden="1">
      <c r="B264" s="27">
        <v>262</v>
      </c>
      <c r="C264" s="29">
        <f t="shared" ca="1" si="28"/>
        <v>3.4838186286196463E-2</v>
      </c>
      <c r="D264" s="29">
        <f t="shared" ca="1" si="29"/>
        <v>7.1085316085647582E-2</v>
      </c>
      <c r="E264" s="29">
        <f t="shared" ca="1" si="30"/>
        <v>3.6162446540493658E-2</v>
      </c>
      <c r="F264" s="30">
        <f ca="1">'Single Simulation'!$AP$4*Results!C264</f>
        <v>66056.547720357194</v>
      </c>
      <c r="G264" s="30">
        <f ca="1">'Single Simulation'!$AP$5*Results!D264</f>
        <v>67235.960020643397</v>
      </c>
      <c r="H264" s="30">
        <f t="shared" ca="1" si="26"/>
        <v>-1179.4123002862034</v>
      </c>
      <c r="I264" s="30">
        <f t="shared" ca="1" si="27"/>
        <v>-42.650434258300486</v>
      </c>
      <c r="J264" s="25">
        <f ca="1">'Single Simulation'!$AP$7*Results!E264</f>
        <v>505262.93549366237</v>
      </c>
      <c r="K264" s="28" t="str">
        <f t="shared" ca="1" si="31"/>
        <v>No</v>
      </c>
    </row>
    <row r="265" spans="2:11" ht="11.25" hidden="1">
      <c r="B265" s="27">
        <v>263</v>
      </c>
      <c r="C265" s="24">
        <f t="shared" ca="1" si="28"/>
        <v>4.7601831535879241E-2</v>
      </c>
      <c r="D265" s="24">
        <f t="shared" ca="1" si="29"/>
        <v>0.08</v>
      </c>
      <c r="E265" s="24">
        <f t="shared" ca="1" si="30"/>
        <v>8.8102907480183013E-2</v>
      </c>
      <c r="F265" s="25">
        <f ca="1">'Single Simulation'!$AP$4*Results!C265</f>
        <v>90257.645176898484</v>
      </c>
      <c r="G265" s="25">
        <f ca="1">'Single Simulation'!$AP$5*Results!D265</f>
        <v>75667.90299097354</v>
      </c>
      <c r="H265" s="25">
        <f t="shared" ca="1" si="26"/>
        <v>14589.742185924944</v>
      </c>
      <c r="I265" s="25">
        <f t="shared" ca="1" si="27"/>
        <v>1285.3987059662684</v>
      </c>
      <c r="J265" s="25">
        <f ca="1">'Single Simulation'!$AP$7*Results!E265</f>
        <v>1230976.8258935981</v>
      </c>
      <c r="K265" s="28" t="str">
        <f t="shared" ca="1" si="31"/>
        <v>No</v>
      </c>
    </row>
    <row r="266" spans="2:11" ht="11.25" hidden="1">
      <c r="B266" s="27">
        <v>264</v>
      </c>
      <c r="C266" s="29">
        <f t="shared" ca="1" si="28"/>
        <v>4.9389080192629525E-2</v>
      </c>
      <c r="D266" s="29">
        <f t="shared" ca="1" si="29"/>
        <v>3.662067698790368E-2</v>
      </c>
      <c r="E266" s="29">
        <f t="shared" ca="1" si="30"/>
        <v>0.1419099852728149</v>
      </c>
      <c r="F266" s="30">
        <f ca="1">'Single Simulation'!$AP$4*Results!C266</f>
        <v>93646.440311435872</v>
      </c>
      <c r="G266" s="30">
        <f ca="1">'Single Simulation'!$AP$5*Results!D266</f>
        <v>34637.622922305905</v>
      </c>
      <c r="H266" s="30">
        <f t="shared" ca="1" si="26"/>
        <v>59008.817389129967</v>
      </c>
      <c r="I266" s="30">
        <f t="shared" ca="1" si="27"/>
        <v>8373.9404066576571</v>
      </c>
      <c r="J266" s="25">
        <f ca="1">'Single Simulation'!$AP$7*Results!E266</f>
        <v>1982771.1505778569</v>
      </c>
      <c r="K266" s="28" t="str">
        <f t="shared" ca="1" si="31"/>
        <v>No</v>
      </c>
    </row>
    <row r="267" spans="2:11" ht="11.25" hidden="1">
      <c r="B267" s="27">
        <v>265</v>
      </c>
      <c r="C267" s="24">
        <f t="shared" ca="1" si="28"/>
        <v>9.0525005125174446E-2</v>
      </c>
      <c r="D267" s="24">
        <f t="shared" ca="1" si="29"/>
        <v>4.2023252093886361E-2</v>
      </c>
      <c r="E267" s="24">
        <f t="shared" ca="1" si="30"/>
        <v>0.1339289403364973</v>
      </c>
      <c r="F267" s="25">
        <f ca="1">'Single Simulation'!$AP$4*Results!C267</f>
        <v>171644.10545981728</v>
      </c>
      <c r="G267" s="25">
        <f ca="1">'Single Simulation'!$AP$5*Results!D267</f>
        <v>39747.642035067736</v>
      </c>
      <c r="H267" s="25">
        <f t="shared" ca="1" si="26"/>
        <v>131896.46342474956</v>
      </c>
      <c r="I267" s="25">
        <f t="shared" ca="1" si="27"/>
        <v>17664.753580608281</v>
      </c>
      <c r="J267" s="25">
        <f ca="1">'Single Simulation'!$AP$7*Results!E267</f>
        <v>1871259.718730591</v>
      </c>
      <c r="K267" s="28" t="str">
        <f t="shared" ca="1" si="31"/>
        <v>No</v>
      </c>
    </row>
    <row r="268" spans="2:11" ht="11.25" hidden="1">
      <c r="B268" s="27">
        <v>266</v>
      </c>
      <c r="C268" s="29">
        <f t="shared" ca="1" si="28"/>
        <v>7.1623079544885143E-2</v>
      </c>
      <c r="D268" s="29">
        <f t="shared" ca="1" si="29"/>
        <v>5.289257168378228E-2</v>
      </c>
      <c r="E268" s="29">
        <f t="shared" ca="1" si="30"/>
        <v>0.11796805262260328</v>
      </c>
      <c r="F268" s="30">
        <f ca="1">'Single Simulation'!$AP$4*Results!C268</f>
        <v>135804.23885930664</v>
      </c>
      <c r="G268" s="30">
        <f ca="1">'Single Simulation'!$AP$5*Results!D268</f>
        <v>50028.374788894391</v>
      </c>
      <c r="H268" s="30">
        <f t="shared" ca="1" si="26"/>
        <v>85775.864070412252</v>
      </c>
      <c r="I268" s="30">
        <f t="shared" ca="1" si="27"/>
        <v>10118.811646407657</v>
      </c>
      <c r="J268" s="25">
        <f ca="1">'Single Simulation'!$AP$7*Results!E268</f>
        <v>1648253.6516389607</v>
      </c>
      <c r="K268" s="28" t="str">
        <f t="shared" ca="1" si="31"/>
        <v>No</v>
      </c>
    </row>
    <row r="269" spans="2:11" ht="11.25" hidden="1">
      <c r="B269" s="27">
        <v>267</v>
      </c>
      <c r="C269" s="24">
        <f t="shared" ca="1" si="28"/>
        <v>6.5409846795257603E-2</v>
      </c>
      <c r="D269" s="24">
        <f t="shared" ca="1" si="29"/>
        <v>3.4842063633849396E-2</v>
      </c>
      <c r="E269" s="24">
        <f t="shared" ca="1" si="30"/>
        <v>5.1319480939698903E-2</v>
      </c>
      <c r="F269" s="25">
        <f ca="1">'Single Simulation'!$AP$4*Results!C269</f>
        <v>124023.35272901817</v>
      </c>
      <c r="G269" s="25">
        <f ca="1">'Single Simulation'!$AP$5*Results!D269</f>
        <v>32955.32363814304</v>
      </c>
      <c r="H269" s="25">
        <f t="shared" ca="1" si="26"/>
        <v>91068.029090875119</v>
      </c>
      <c r="I269" s="25">
        <f t="shared" ca="1" si="27"/>
        <v>4673.5639831451108</v>
      </c>
      <c r="J269" s="25">
        <f ca="1">'Single Simulation'!$AP$7*Results!E269</f>
        <v>717037.5366768355</v>
      </c>
      <c r="K269" s="28" t="str">
        <f t="shared" ca="1" si="31"/>
        <v>No</v>
      </c>
    </row>
    <row r="270" spans="2:11" ht="11.25" hidden="1">
      <c r="B270" s="27">
        <v>268</v>
      </c>
      <c r="C270" s="29">
        <f t="shared" ca="1" si="28"/>
        <v>5.5563419761112905E-2</v>
      </c>
      <c r="D270" s="29">
        <f t="shared" ca="1" si="29"/>
        <v>6.2836940801760499E-2</v>
      </c>
      <c r="E270" s="29">
        <f t="shared" ca="1" si="30"/>
        <v>6.366217241706329E-2</v>
      </c>
      <c r="F270" s="30">
        <f ca="1">'Single Simulation'!$AP$4*Results!C270</f>
        <v>105353.58123423449</v>
      </c>
      <c r="G270" s="30">
        <f ca="1">'Single Simulation'!$AP$5*Results!D270</f>
        <v>59434.244260464504</v>
      </c>
      <c r="H270" s="30">
        <f t="shared" ca="1" si="26"/>
        <v>45919.336973769983</v>
      </c>
      <c r="I270" s="30">
        <f t="shared" ca="1" si="27"/>
        <v>2923.3247477013738</v>
      </c>
      <c r="J270" s="25">
        <f ca="1">'Single Simulation'!$AP$7*Results!E270</f>
        <v>889490.04264217464</v>
      </c>
      <c r="K270" s="28" t="str">
        <f t="shared" ca="1" si="31"/>
        <v>No</v>
      </c>
    </row>
    <row r="271" spans="2:11" ht="11.25" hidden="1">
      <c r="B271" s="27">
        <v>269</v>
      </c>
      <c r="C271" s="24">
        <f t="shared" ca="1" si="28"/>
        <v>5.8398717034216223E-2</v>
      </c>
      <c r="D271" s="24">
        <f t="shared" ca="1" si="29"/>
        <v>4.4354992447921404E-2</v>
      </c>
      <c r="E271" s="24">
        <f t="shared" ca="1" si="30"/>
        <v>6.3996243759793972E-2</v>
      </c>
      <c r="F271" s="25">
        <f ca="1">'Single Simulation'!$AP$4*Results!C271</f>
        <v>110729.57721989106</v>
      </c>
      <c r="G271" s="25">
        <f ca="1">'Single Simulation'!$AP$5*Results!D271</f>
        <v>41953.115821433508</v>
      </c>
      <c r="H271" s="25">
        <f t="shared" ca="1" si="26"/>
        <v>68776.461398457555</v>
      </c>
      <c r="I271" s="25">
        <f t="shared" ca="1" si="27"/>
        <v>4401.4351885917504</v>
      </c>
      <c r="J271" s="25">
        <f ca="1">'Single Simulation'!$AP$7*Results!E271</f>
        <v>894157.69882808567</v>
      </c>
      <c r="K271" s="28" t="str">
        <f t="shared" ca="1" si="31"/>
        <v>No</v>
      </c>
    </row>
    <row r="272" spans="2:11" ht="11.25" hidden="1">
      <c r="B272" s="27">
        <v>270</v>
      </c>
      <c r="C272" s="29">
        <f t="shared" ca="1" si="28"/>
        <v>5.303285939563674E-2</v>
      </c>
      <c r="D272" s="29">
        <f t="shared" ca="1" si="29"/>
        <v>4.6976812561509311E-2</v>
      </c>
      <c r="E272" s="29">
        <f t="shared" ca="1" si="30"/>
        <v>0.10196195806516528</v>
      </c>
      <c r="F272" s="30">
        <f ca="1">'Single Simulation'!$AP$4*Results!C272</f>
        <v>100555.39569816504</v>
      </c>
      <c r="G272" s="30">
        <f ca="1">'Single Simulation'!$AP$5*Results!D272</f>
        <v>44432.961196617922</v>
      </c>
      <c r="H272" s="30">
        <f t="shared" ca="1" si="26"/>
        <v>56122.434501547119</v>
      </c>
      <c r="I272" s="30">
        <f t="shared" ca="1" si="27"/>
        <v>5722.3533131617323</v>
      </c>
      <c r="J272" s="25">
        <f ca="1">'Single Simulation'!$AP$7*Results!E272</f>
        <v>1424615.9529886676</v>
      </c>
      <c r="K272" s="28" t="str">
        <f t="shared" ca="1" si="31"/>
        <v>No</v>
      </c>
    </row>
    <row r="273" spans="2:11" ht="11.25" hidden="1">
      <c r="B273" s="27">
        <v>271</v>
      </c>
      <c r="C273" s="24">
        <f t="shared" ca="1" si="28"/>
        <v>0.11109819917795971</v>
      </c>
      <c r="D273" s="24">
        <f t="shared" ca="1" si="29"/>
        <v>6.8636955289198276E-2</v>
      </c>
      <c r="E273" s="24">
        <f t="shared" ca="1" si="30"/>
        <v>2.9115784832471826E-2</v>
      </c>
      <c r="F273" s="25">
        <f ca="1">'Single Simulation'!$AP$4*Results!C273</f>
        <v>210652.8576245773</v>
      </c>
      <c r="G273" s="25">
        <f ca="1">'Single Simulation'!$AP$5*Results!D273</f>
        <v>64920.18093023554</v>
      </c>
      <c r="H273" s="25">
        <f t="shared" ca="1" si="26"/>
        <v>145732.67669434176</v>
      </c>
      <c r="I273" s="25">
        <f t="shared" ca="1" si="27"/>
        <v>4243.1212576926364</v>
      </c>
      <c r="J273" s="25">
        <f ca="1">'Single Simulation'!$AP$7*Results!E273</f>
        <v>406806.73795627942</v>
      </c>
      <c r="K273" s="28" t="str">
        <f t="shared" ca="1" si="31"/>
        <v>No</v>
      </c>
    </row>
    <row r="274" spans="2:11" ht="11.25" hidden="1">
      <c r="B274" s="27">
        <v>272</v>
      </c>
      <c r="C274" s="29">
        <f t="shared" ca="1" si="28"/>
        <v>5.9678271077780613E-2</v>
      </c>
      <c r="D274" s="29">
        <f t="shared" ca="1" si="29"/>
        <v>4.5745999408945526E-2</v>
      </c>
      <c r="E274" s="29">
        <f t="shared" ca="1" si="30"/>
        <v>1.6794728427436012E-2</v>
      </c>
      <c r="F274" s="30">
        <f ca="1">'Single Simulation'!$AP$4*Results!C274</f>
        <v>113155.73459918541</v>
      </c>
      <c r="G274" s="30">
        <f ca="1">'Single Simulation'!$AP$5*Results!D274</f>
        <v>43268.798068765282</v>
      </c>
      <c r="H274" s="30">
        <f t="shared" ca="1" si="26"/>
        <v>69886.93653042012</v>
      </c>
      <c r="I274" s="30">
        <f t="shared" ca="1" si="27"/>
        <v>1173.732119653863</v>
      </c>
      <c r="J274" s="25">
        <f ca="1">'Single Simulation'!$AP$7*Results!E274</f>
        <v>234656.51795884658</v>
      </c>
      <c r="K274" s="28" t="str">
        <f t="shared" ca="1" si="31"/>
        <v>No</v>
      </c>
    </row>
    <row r="275" spans="2:11" ht="11.25" hidden="1">
      <c r="B275" s="27">
        <v>273</v>
      </c>
      <c r="C275" s="24">
        <f t="shared" ca="1" si="28"/>
        <v>5.8566494839733904E-2</v>
      </c>
      <c r="D275" s="24">
        <f t="shared" ca="1" si="29"/>
        <v>4.5837376332725083E-2</v>
      </c>
      <c r="E275" s="24">
        <f t="shared" ca="1" si="30"/>
        <v>4.6460249681446783E-2</v>
      </c>
      <c r="F275" s="25">
        <f ca="1">'Single Simulation'!$AP$4*Results!C275</f>
        <v>111047.70005572269</v>
      </c>
      <c r="G275" s="25">
        <f ca="1">'Single Simulation'!$AP$5*Results!D275</f>
        <v>43355.226821317345</v>
      </c>
      <c r="H275" s="25">
        <f t="shared" ca="1" si="26"/>
        <v>67692.473234405334</v>
      </c>
      <c r="I275" s="25">
        <f t="shared" ca="1" si="27"/>
        <v>3145.0092080251252</v>
      </c>
      <c r="J275" s="25">
        <f ca="1">'Single Simulation'!$AP$7*Results!E275</f>
        <v>649144.1919320937</v>
      </c>
      <c r="K275" s="28" t="str">
        <f t="shared" ca="1" si="31"/>
        <v>No</v>
      </c>
    </row>
    <row r="276" spans="2:11" ht="11.25" hidden="1">
      <c r="B276" s="27">
        <v>274</v>
      </c>
      <c r="C276" s="29">
        <f t="shared" ca="1" si="28"/>
        <v>4.9314113563417514E-2</v>
      </c>
      <c r="D276" s="29">
        <f t="shared" ca="1" si="29"/>
        <v>5.522017920775775E-2</v>
      </c>
      <c r="E276" s="29">
        <f t="shared" ca="1" si="30"/>
        <v>-1.9035835729362613E-2</v>
      </c>
      <c r="F276" s="30">
        <f ca="1">'Single Simulation'!$AP$4*Results!C276</f>
        <v>93504.296381229622</v>
      </c>
      <c r="G276" s="30">
        <f ca="1">'Single Simulation'!$AP$5*Results!D276</f>
        <v>52229.939542959844</v>
      </c>
      <c r="H276" s="30">
        <f t="shared" ca="1" si="26"/>
        <v>41274.356838269778</v>
      </c>
      <c r="I276" s="30">
        <f t="shared" ca="1" si="27"/>
        <v>-785.69187660839793</v>
      </c>
      <c r="J276" s="25">
        <f ca="1">'Single Simulation'!$AP$7*Results!E276</f>
        <v>-265969.34555915138</v>
      </c>
      <c r="K276" s="28" t="str">
        <f t="shared" ca="1" si="31"/>
        <v>No</v>
      </c>
    </row>
    <row r="277" spans="2:11" ht="11.25" hidden="1">
      <c r="B277" s="27">
        <v>275</v>
      </c>
      <c r="C277" s="24">
        <f t="shared" ca="1" si="28"/>
        <v>5.4524790200715226E-2</v>
      </c>
      <c r="D277" s="24">
        <f t="shared" ca="1" si="29"/>
        <v>6.1577457444151065E-2</v>
      </c>
      <c r="E277" s="24">
        <f t="shared" ca="1" si="30"/>
        <v>9.0762508028832636E-2</v>
      </c>
      <c r="F277" s="25">
        <f ca="1">'Single Simulation'!$AP$4*Results!C277</f>
        <v>103384.23981799185</v>
      </c>
      <c r="G277" s="25">
        <f ca="1">'Single Simulation'!$AP$5*Results!D277</f>
        <v>58242.963453935299</v>
      </c>
      <c r="H277" s="25">
        <f t="shared" ca="1" si="26"/>
        <v>45141.276364056554</v>
      </c>
      <c r="I277" s="25">
        <f t="shared" ca="1" si="27"/>
        <v>4097.1354584244355</v>
      </c>
      <c r="J277" s="25">
        <f ca="1">'Single Simulation'!$AP$7*Results!E277</f>
        <v>1268136.8553995255</v>
      </c>
      <c r="K277" s="28" t="str">
        <f t="shared" ca="1" si="31"/>
        <v>No</v>
      </c>
    </row>
    <row r="278" spans="2:11" ht="11.25" hidden="1">
      <c r="B278" s="27">
        <v>276</v>
      </c>
      <c r="C278" s="29">
        <f t="shared" ca="1" si="28"/>
        <v>4.1523554792244011E-2</v>
      </c>
      <c r="D278" s="29">
        <f t="shared" ca="1" si="29"/>
        <v>6.1396197812133617E-2</v>
      </c>
      <c r="E278" s="29">
        <f t="shared" ca="1" si="30"/>
        <v>6.7468199153865357E-2</v>
      </c>
      <c r="F278" s="30">
        <f ca="1">'Single Simulation'!$AP$4*Results!C278</f>
        <v>78732.648597711945</v>
      </c>
      <c r="G278" s="30">
        <f ca="1">'Single Simulation'!$AP$5*Results!D278</f>
        <v>58071.519250789352</v>
      </c>
      <c r="H278" s="30">
        <f t="shared" ca="1" si="26"/>
        <v>20661.129346922593</v>
      </c>
      <c r="I278" s="30">
        <f t="shared" ca="1" si="27"/>
        <v>1393.9691895219455</v>
      </c>
      <c r="J278" s="25">
        <f ca="1">'Single Simulation'!$AP$7*Results!E278</f>
        <v>942667.97791960684</v>
      </c>
      <c r="K278" s="28" t="str">
        <f t="shared" ca="1" si="31"/>
        <v>No</v>
      </c>
    </row>
    <row r="279" spans="2:11" ht="11.25" hidden="1">
      <c r="B279" s="27">
        <v>277</v>
      </c>
      <c r="C279" s="24">
        <f t="shared" ca="1" si="28"/>
        <v>6.4601524340752919E-2</v>
      </c>
      <c r="D279" s="24">
        <f t="shared" ca="1" si="29"/>
        <v>5.981018703393523E-2</v>
      </c>
      <c r="E279" s="24">
        <f t="shared" ca="1" si="30"/>
        <v>9.5118181669782587E-2</v>
      </c>
      <c r="F279" s="25">
        <f ca="1">'Single Simulation'!$AP$4*Results!C279</f>
        <v>122490.69570862153</v>
      </c>
      <c r="G279" s="25">
        <f ca="1">'Single Simulation'!$AP$5*Results!D279</f>
        <v>56571.392879447427</v>
      </c>
      <c r="H279" s="25">
        <f t="shared" ca="1" si="26"/>
        <v>65919.302829174092</v>
      </c>
      <c r="I279" s="25">
        <f t="shared" ca="1" si="27"/>
        <v>6270.1242220507947</v>
      </c>
      <c r="J279" s="25">
        <f ca="1">'Single Simulation'!$AP$7*Results!E279</f>
        <v>1328994.475953887</v>
      </c>
      <c r="K279" s="28" t="str">
        <f t="shared" ca="1" si="31"/>
        <v>No</v>
      </c>
    </row>
    <row r="280" spans="2:11" ht="11.25" hidden="1">
      <c r="B280" s="27">
        <v>278</v>
      </c>
      <c r="C280" s="29">
        <f t="shared" ca="1" si="28"/>
        <v>0.10124821634043618</v>
      </c>
      <c r="D280" s="29">
        <f t="shared" ca="1" si="29"/>
        <v>2.1209288255211563E-2</v>
      </c>
      <c r="E280" s="29">
        <f t="shared" ca="1" si="30"/>
        <v>5.6604881441223276E-2</v>
      </c>
      <c r="F280" s="30">
        <f ca="1">'Single Simulation'!$AP$4*Results!C280</f>
        <v>191976.34398502039</v>
      </c>
      <c r="G280" s="30">
        <f ca="1">'Single Simulation'!$AP$5*Results!D280</f>
        <v>20060.779577536789</v>
      </c>
      <c r="H280" s="30">
        <f t="shared" ca="1" si="26"/>
        <v>171915.56440748359</v>
      </c>
      <c r="I280" s="30">
        <f t="shared" ca="1" si="27"/>
        <v>9731.2601411865926</v>
      </c>
      <c r="J280" s="25">
        <f ca="1">'Single Simulation'!$AP$7*Results!E280</f>
        <v>790885.33261258644</v>
      </c>
      <c r="K280" s="28" t="str">
        <f t="shared" ca="1" si="31"/>
        <v>No</v>
      </c>
    </row>
    <row r="281" spans="2:11" ht="11.25" hidden="1">
      <c r="B281" s="27">
        <v>279</v>
      </c>
      <c r="C281" s="24">
        <f t="shared" ca="1" si="28"/>
        <v>5.581187897885579E-2</v>
      </c>
      <c r="D281" s="24">
        <f t="shared" ca="1" si="29"/>
        <v>4.8873498246860887E-2</v>
      </c>
      <c r="E281" s="24">
        <f t="shared" ca="1" si="30"/>
        <v>7.3211950148313706E-2</v>
      </c>
      <c r="F281" s="25">
        <f ca="1">'Single Simulation'!$AP$4*Results!C281</f>
        <v>105824.68377782179</v>
      </c>
      <c r="G281" s="25">
        <f ca="1">'Single Simulation'!$AP$5*Results!D281</f>
        <v>46226.939052162306</v>
      </c>
      <c r="H281" s="25">
        <f t="shared" ca="1" si="26"/>
        <v>59597.744725659482</v>
      </c>
      <c r="I281" s="25">
        <f t="shared" ca="1" si="27"/>
        <v>4363.2671158069079</v>
      </c>
      <c r="J281" s="25">
        <f ca="1">'Single Simulation'!$AP$7*Results!E281</f>
        <v>1022919.8625632502</v>
      </c>
      <c r="K281" s="28" t="str">
        <f t="shared" ca="1" si="31"/>
        <v>No</v>
      </c>
    </row>
    <row r="282" spans="2:11" ht="11.25" hidden="1">
      <c r="B282" s="27">
        <v>280</v>
      </c>
      <c r="C282" s="29">
        <f t="shared" ca="1" si="28"/>
        <v>6.3555894212144123E-2</v>
      </c>
      <c r="D282" s="29">
        <f t="shared" ca="1" si="29"/>
        <v>5.3286420175332028E-2</v>
      </c>
      <c r="E282" s="29">
        <f t="shared" ca="1" si="30"/>
        <v>6.029076599266095E-2</v>
      </c>
      <c r="F282" s="30">
        <f ca="1">'Single Simulation'!$AP$4*Results!C282</f>
        <v>120508.08054258295</v>
      </c>
      <c r="G282" s="30">
        <f ca="1">'Single Simulation'!$AP$5*Results!D282</f>
        <v>50400.895907040984</v>
      </c>
      <c r="H282" s="30">
        <f t="shared" ca="1" si="26"/>
        <v>70107.184635541955</v>
      </c>
      <c r="I282" s="30">
        <f t="shared" ca="1" si="27"/>
        <v>4226.8158632657351</v>
      </c>
      <c r="J282" s="25">
        <f ca="1">'Single Simulation'!$AP$7*Results!E282</f>
        <v>842384.63718161627</v>
      </c>
      <c r="K282" s="28" t="str">
        <f t="shared" ca="1" si="31"/>
        <v>No</v>
      </c>
    </row>
    <row r="283" spans="2:11" ht="11.25" hidden="1">
      <c r="B283" s="27">
        <v>281</v>
      </c>
      <c r="C283" s="24">
        <f t="shared" ca="1" si="28"/>
        <v>3.5554273262541243E-2</v>
      </c>
      <c r="D283" s="24">
        <f t="shared" ca="1" si="29"/>
        <v>6.425462000496858E-2</v>
      </c>
      <c r="E283" s="24">
        <f t="shared" ca="1" si="30"/>
        <v>9.162560634683399E-2</v>
      </c>
      <c r="F283" s="25">
        <f ca="1">'Single Simulation'!$AP$4*Results!C283</f>
        <v>67414.31741411383</v>
      </c>
      <c r="G283" s="25">
        <f ca="1">'Single Simulation'!$AP$5*Results!D283</f>
        <v>60775.154415722878</v>
      </c>
      <c r="H283" s="25">
        <f t="shared" ca="1" si="26"/>
        <v>6639.1629983909515</v>
      </c>
      <c r="I283" s="25">
        <f t="shared" ca="1" si="27"/>
        <v>608.31733536303534</v>
      </c>
      <c r="J283" s="25">
        <f ca="1">'Single Simulation'!$AP$7*Results!E283</f>
        <v>1280196.0945133583</v>
      </c>
      <c r="K283" s="28" t="str">
        <f t="shared" ca="1" si="31"/>
        <v>No</v>
      </c>
    </row>
    <row r="284" spans="2:11" ht="11.25" hidden="1">
      <c r="B284" s="27">
        <v>282</v>
      </c>
      <c r="C284" s="29">
        <f t="shared" ca="1" si="28"/>
        <v>3.7129223786963081E-2</v>
      </c>
      <c r="D284" s="29">
        <f t="shared" ca="1" si="29"/>
        <v>5.8578733964037344E-2</v>
      </c>
      <c r="E284" s="29">
        <f t="shared" ca="1" si="30"/>
        <v>7.6296268922078012E-2</v>
      </c>
      <c r="F284" s="30">
        <f ca="1">'Single Simulation'!$AP$4*Results!C284</f>
        <v>70400.574896607781</v>
      </c>
      <c r="G284" s="30">
        <f ca="1">'Single Simulation'!$AP$5*Results!D284</f>
        <v>55406.624486560308</v>
      </c>
      <c r="H284" s="30">
        <f t="shared" ca="1" si="26"/>
        <v>14993.950410047473</v>
      </c>
      <c r="I284" s="30">
        <f t="shared" ca="1" si="27"/>
        <v>1143.9824726892839</v>
      </c>
      <c r="J284" s="25">
        <f ca="1">'Single Simulation'!$AP$7*Results!E284</f>
        <v>1066014.0695850379</v>
      </c>
      <c r="K284" s="28" t="str">
        <f t="shared" ca="1" si="31"/>
        <v>No</v>
      </c>
    </row>
    <row r="285" spans="2:11" ht="11.25" hidden="1">
      <c r="B285" s="27">
        <v>283</v>
      </c>
      <c r="C285" s="24">
        <f t="shared" ca="1" si="28"/>
        <v>7.3386527871117047E-2</v>
      </c>
      <c r="D285" s="24">
        <f t="shared" ca="1" si="29"/>
        <v>0.08</v>
      </c>
      <c r="E285" s="24">
        <f t="shared" ca="1" si="30"/>
        <v>8.0204968759860801E-2</v>
      </c>
      <c r="F285" s="25">
        <f ca="1">'Single Simulation'!$AP$4*Results!C285</f>
        <v>139147.90628094494</v>
      </c>
      <c r="G285" s="25">
        <f ca="1">'Single Simulation'!$AP$5*Results!D285</f>
        <v>75667.90299097354</v>
      </c>
      <c r="H285" s="25">
        <f t="shared" ca="1" si="26"/>
        <v>63480.003289971399</v>
      </c>
      <c r="I285" s="25">
        <f t="shared" ca="1" si="27"/>
        <v>5091.4116807480168</v>
      </c>
      <c r="J285" s="25">
        <f ca="1">'Single Simulation'!$AP$7*Results!E285</f>
        <v>1120626.556928511</v>
      </c>
      <c r="K285" s="28" t="str">
        <f t="shared" ca="1" si="31"/>
        <v>No</v>
      </c>
    </row>
    <row r="286" spans="2:11" ht="11.25" hidden="1">
      <c r="B286" s="27">
        <v>284</v>
      </c>
      <c r="C286" s="29">
        <f t="shared" ca="1" si="28"/>
        <v>6.0128048506158105E-2</v>
      </c>
      <c r="D286" s="29">
        <f t="shared" ca="1" si="29"/>
        <v>7.3100215579331967E-2</v>
      </c>
      <c r="E286" s="29">
        <f t="shared" ca="1" si="30"/>
        <v>7.2460269856677861E-2</v>
      </c>
      <c r="F286" s="30">
        <f ca="1">'Single Simulation'!$AP$4*Results!C286</f>
        <v>114008.5558085642</v>
      </c>
      <c r="G286" s="30">
        <f ca="1">'Single Simulation'!$AP$5*Results!D286</f>
        <v>69141.750263451802</v>
      </c>
      <c r="H286" s="30">
        <f t="shared" ca="1" si="26"/>
        <v>44866.805545112395</v>
      </c>
      <c r="I286" s="30">
        <f t="shared" ca="1" si="27"/>
        <v>3251.0608374059348</v>
      </c>
      <c r="J286" s="25">
        <f ca="1">'Single Simulation'!$AP$7*Results!E286</f>
        <v>1012417.359910965</v>
      </c>
      <c r="K286" s="28" t="str">
        <f t="shared" ca="1" si="31"/>
        <v>No</v>
      </c>
    </row>
    <row r="287" spans="2:11" ht="11.25" hidden="1">
      <c r="B287" s="27">
        <v>285</v>
      </c>
      <c r="C287" s="24">
        <f t="shared" ca="1" si="28"/>
        <v>4.6515214309759356E-2</v>
      </c>
      <c r="D287" s="24">
        <f t="shared" ca="1" si="29"/>
        <v>4.9175406555146885E-2</v>
      </c>
      <c r="E287" s="24">
        <f t="shared" ca="1" si="30"/>
        <v>-3.6789909985264352E-3</v>
      </c>
      <c r="F287" s="25">
        <f ca="1">'Single Simulation'!$AP$4*Results!C287</f>
        <v>88197.314536798833</v>
      </c>
      <c r="G287" s="25">
        <f ca="1">'Single Simulation'!$AP$5*Results!D287</f>
        <v>46512.498659456731</v>
      </c>
      <c r="H287" s="25">
        <f t="shared" ca="1" si="26"/>
        <v>41684.815877342102</v>
      </c>
      <c r="I287" s="25">
        <f t="shared" ca="1" si="27"/>
        <v>-153.3580623879734</v>
      </c>
      <c r="J287" s="25">
        <f ca="1">'Single Simulation'!$AP$7*Results!E287</f>
        <v>-51402.987612819059</v>
      </c>
      <c r="K287" s="28" t="str">
        <f t="shared" ca="1" si="31"/>
        <v>No</v>
      </c>
    </row>
    <row r="288" spans="2:11" ht="11.25" hidden="1">
      <c r="B288" s="27">
        <v>286</v>
      </c>
      <c r="C288" s="29">
        <f t="shared" ca="1" si="28"/>
        <v>8.1188320659435681E-2</v>
      </c>
      <c r="D288" s="29">
        <f t="shared" ca="1" si="29"/>
        <v>6.5343745374630766E-2</v>
      </c>
      <c r="E288" s="29">
        <f t="shared" ca="1" si="30"/>
        <v>7.3258865822245278E-2</v>
      </c>
      <c r="F288" s="30">
        <f ca="1">'Single Simulation'!$AP$4*Results!C288</f>
        <v>153940.85484009836</v>
      </c>
      <c r="G288" s="30">
        <f ca="1">'Single Simulation'!$AP$5*Results!D288</f>
        <v>61805.302325930454</v>
      </c>
      <c r="H288" s="30">
        <f t="shared" ca="1" si="26"/>
        <v>92135.55251416791</v>
      </c>
      <c r="I288" s="30">
        <f t="shared" ca="1" si="27"/>
        <v>6749.7460790938603</v>
      </c>
      <c r="J288" s="25">
        <f ca="1">'Single Simulation'!$AP$7*Results!E288</f>
        <v>1023575.3699583261</v>
      </c>
      <c r="K288" s="28" t="str">
        <f t="shared" ca="1" si="31"/>
        <v>No</v>
      </c>
    </row>
    <row r="289" spans="2:11" ht="11.25" hidden="1">
      <c r="B289" s="27">
        <v>287</v>
      </c>
      <c r="C289" s="24">
        <f t="shared" ca="1" si="28"/>
        <v>7.0144438532419126E-2</v>
      </c>
      <c r="D289" s="24">
        <f t="shared" ca="1" si="29"/>
        <v>3.4744712004976315E-2</v>
      </c>
      <c r="E289" s="24">
        <f t="shared" ca="1" si="30"/>
        <v>-3.5259747506334052E-2</v>
      </c>
      <c r="F289" s="25">
        <f ca="1">'Single Simulation'!$AP$4*Results!C289</f>
        <v>133000.59346287738</v>
      </c>
      <c r="G289" s="25">
        <f ca="1">'Single Simulation'!$AP$5*Results!D289</f>
        <v>32863.243718023266</v>
      </c>
      <c r="H289" s="25">
        <f t="shared" ca="1" si="26"/>
        <v>100137.34974485412</v>
      </c>
      <c r="I289" s="25">
        <f t="shared" ca="1" si="27"/>
        <v>-3530.8176679570206</v>
      </c>
      <c r="J289" s="25">
        <f ca="1">'Single Simulation'!$AP$7*Results!E289</f>
        <v>-492650.39382405917</v>
      </c>
      <c r="K289" s="28" t="str">
        <f t="shared" ca="1" si="31"/>
        <v>No</v>
      </c>
    </row>
    <row r="290" spans="2:11" ht="11.25" hidden="1">
      <c r="B290" s="27">
        <v>288</v>
      </c>
      <c r="C290" s="29">
        <f t="shared" ca="1" si="28"/>
        <v>3.0066182873013051E-2</v>
      </c>
      <c r="D290" s="29">
        <f t="shared" ca="1" si="29"/>
        <v>3.3225444380983737E-2</v>
      </c>
      <c r="E290" s="29">
        <f t="shared" ca="1" si="30"/>
        <v>0.13070852809786279</v>
      </c>
      <c r="F290" s="30">
        <f ca="1">'Single Simulation'!$AP$4*Results!C290</f>
        <v>57008.370855031855</v>
      </c>
      <c r="G290" s="30">
        <f ca="1">'Single Simulation'!$AP$5*Results!D290</f>
        <v>31426.246278153303</v>
      </c>
      <c r="H290" s="30">
        <f t="shared" ca="1" si="26"/>
        <v>25582.124576878552</v>
      </c>
      <c r="I290" s="30">
        <f t="shared" ca="1" si="27"/>
        <v>3343.8018490599566</v>
      </c>
      <c r="J290" s="25">
        <f ca="1">'Single Simulation'!$AP$7*Results!E290</f>
        <v>1826264.00917952</v>
      </c>
      <c r="K290" s="28" t="str">
        <f t="shared" ca="1" si="31"/>
        <v>No</v>
      </c>
    </row>
    <row r="291" spans="2:11" ht="11.25" hidden="1">
      <c r="B291" s="27">
        <v>289</v>
      </c>
      <c r="C291" s="24">
        <f t="shared" ca="1" si="28"/>
        <v>4.2377054976399903E-2</v>
      </c>
      <c r="D291" s="24">
        <f t="shared" ca="1" si="29"/>
        <v>3.6679381959349798E-2</v>
      </c>
      <c r="E291" s="24">
        <f t="shared" ca="1" si="30"/>
        <v>4.279052661331964E-2</v>
      </c>
      <c r="F291" s="25">
        <f ca="1">'Single Simulation'!$AP$4*Results!C291</f>
        <v>80350.966933255317</v>
      </c>
      <c r="G291" s="25">
        <f ca="1">'Single Simulation'!$AP$5*Results!D291</f>
        <v>34693.148948361813</v>
      </c>
      <c r="H291" s="25">
        <f t="shared" ca="1" si="26"/>
        <v>45657.817984893503</v>
      </c>
      <c r="I291" s="25">
        <f t="shared" ca="1" si="27"/>
        <v>1953.7220755886897</v>
      </c>
      <c r="J291" s="25">
        <f ca="1">'Single Simulation'!$AP$7*Results!E291</f>
        <v>597870.69615866814</v>
      </c>
      <c r="K291" s="28" t="str">
        <f t="shared" ca="1" si="31"/>
        <v>No</v>
      </c>
    </row>
    <row r="292" spans="2:11" ht="11.25" hidden="1">
      <c r="B292" s="27">
        <v>290</v>
      </c>
      <c r="C292" s="29">
        <f t="shared" ca="1" si="28"/>
        <v>6.5037544289195559E-2</v>
      </c>
      <c r="D292" s="29">
        <f t="shared" ca="1" si="29"/>
        <v>5.5172439655712717E-2</v>
      </c>
      <c r="E292" s="29">
        <f t="shared" ca="1" si="30"/>
        <v>7.8864704602558455E-2</v>
      </c>
      <c r="F292" s="30">
        <f ca="1">'Single Simulation'!$AP$4*Results!C292</f>
        <v>123317.43141451391</v>
      </c>
      <c r="G292" s="30">
        <f ca="1">'Single Simulation'!$AP$5*Results!D292</f>
        <v>52184.785145547641</v>
      </c>
      <c r="H292" s="30">
        <f t="shared" ca="1" si="26"/>
        <v>71132.646268966259</v>
      </c>
      <c r="I292" s="30">
        <f t="shared" ca="1" si="27"/>
        <v>5609.8551356003054</v>
      </c>
      <c r="J292" s="25">
        <f ca="1">'Single Simulation'!$AP$7*Results!E292</f>
        <v>1101900.3404459723</v>
      </c>
      <c r="K292" s="28" t="str">
        <f t="shared" ca="1" si="31"/>
        <v>No</v>
      </c>
    </row>
    <row r="293" spans="2:11" ht="11.25" hidden="1">
      <c r="B293" s="27">
        <v>291</v>
      </c>
      <c r="C293" s="24">
        <f t="shared" ca="1" si="28"/>
        <v>3.6691220428180585E-2</v>
      </c>
      <c r="D293" s="24">
        <f t="shared" ca="1" si="29"/>
        <v>5.6908033881997354E-2</v>
      </c>
      <c r="E293" s="24">
        <f t="shared" ca="1" si="30"/>
        <v>8.7443622776000512E-2</v>
      </c>
      <c r="F293" s="25">
        <f ca="1">'Single Simulation'!$AP$4*Results!C293</f>
        <v>69570.078454186601</v>
      </c>
      <c r="G293" s="25">
        <f ca="1">'Single Simulation'!$AP$5*Results!D293</f>
        <v>53826.394839875138</v>
      </c>
      <c r="H293" s="25">
        <f t="shared" ca="1" si="26"/>
        <v>15743.683614311463</v>
      </c>
      <c r="I293" s="25">
        <f t="shared" ca="1" si="27"/>
        <v>1376.684731074552</v>
      </c>
      <c r="J293" s="25">
        <f ca="1">'Single Simulation'!$AP$7*Results!E293</f>
        <v>1221765.2775380877</v>
      </c>
      <c r="K293" s="28" t="str">
        <f t="shared" ca="1" si="31"/>
        <v>No</v>
      </c>
    </row>
    <row r="294" spans="2:11" ht="11.25" hidden="1">
      <c r="B294" s="27">
        <v>292</v>
      </c>
      <c r="C294" s="29">
        <f t="shared" ca="1" si="28"/>
        <v>6.2929094220037507E-2</v>
      </c>
      <c r="D294" s="29">
        <f t="shared" ca="1" si="29"/>
        <v>5.7920008060027069E-2</v>
      </c>
      <c r="E294" s="29">
        <f t="shared" ca="1" si="30"/>
        <v>7.3427754365640571E-2</v>
      </c>
      <c r="F294" s="30">
        <f ca="1">'Single Simulation'!$AP$4*Results!C294</f>
        <v>119319.6075477613</v>
      </c>
      <c r="G294" s="30">
        <f ca="1">'Single Simulation'!$AP$5*Results!D294</f>
        <v>54783.569389031669</v>
      </c>
      <c r="H294" s="30">
        <f t="shared" ca="1" si="26"/>
        <v>64536.038158729636</v>
      </c>
      <c r="I294" s="30">
        <f t="shared" ca="1" si="27"/>
        <v>4738.7363576508069</v>
      </c>
      <c r="J294" s="25">
        <f ca="1">'Single Simulation'!$AP$7*Results!E294</f>
        <v>1025935.0864424307</v>
      </c>
      <c r="K294" s="28" t="str">
        <f t="shared" ca="1" si="31"/>
        <v>No</v>
      </c>
    </row>
    <row r="295" spans="2:11" ht="11.25" hidden="1">
      <c r="B295" s="27">
        <v>293</v>
      </c>
      <c r="C295" s="24">
        <f t="shared" ca="1" si="28"/>
        <v>5.5641742491986154E-2</v>
      </c>
      <c r="D295" s="24">
        <f t="shared" ca="1" si="29"/>
        <v>5.8521782767457994E-2</v>
      </c>
      <c r="E295" s="24">
        <f t="shared" ca="1" si="30"/>
        <v>-7.5971409060647949E-3</v>
      </c>
      <c r="F295" s="25">
        <f ca="1">'Single Simulation'!$AP$4*Results!C295</f>
        <v>105502.08865557425</v>
      </c>
      <c r="G295" s="25">
        <f ca="1">'Single Simulation'!$AP$5*Results!D295</f>
        <v>55352.75726633548</v>
      </c>
      <c r="H295" s="25">
        <f t="shared" ca="1" si="26"/>
        <v>50149.331389238767</v>
      </c>
      <c r="I295" s="25">
        <f t="shared" ca="1" si="27"/>
        <v>-380.99153690898504</v>
      </c>
      <c r="J295" s="25">
        <f ca="1">'Single Simulation'!$AP$7*Results!E295</f>
        <v>-106147.511652979</v>
      </c>
      <c r="K295" s="28" t="str">
        <f t="shared" ca="1" si="31"/>
        <v>No</v>
      </c>
    </row>
    <row r="296" spans="2:11" ht="11.25" hidden="1">
      <c r="B296" s="27">
        <v>294</v>
      </c>
      <c r="C296" s="29">
        <f t="shared" ca="1" si="28"/>
        <v>8.0517486808530117E-2</v>
      </c>
      <c r="D296" s="29">
        <f t="shared" ca="1" si="29"/>
        <v>4.2968536802030319E-2</v>
      </c>
      <c r="E296" s="29">
        <f t="shared" ca="1" si="30"/>
        <v>7.8916828863123248E-2</v>
      </c>
      <c r="F296" s="30">
        <f ca="1">'Single Simulation'!$AP$4*Results!C296</f>
        <v>152668.88941914498</v>
      </c>
      <c r="G296" s="30">
        <f ca="1">'Single Simulation'!$AP$5*Results!D296</f>
        <v>40641.738430001329</v>
      </c>
      <c r="H296" s="30">
        <f t="shared" ca="1" si="26"/>
        <v>112027.15098914364</v>
      </c>
      <c r="I296" s="30">
        <f t="shared" ca="1" si="27"/>
        <v>8840.8275026335177</v>
      </c>
      <c r="J296" s="25">
        <f ca="1">'Single Simulation'!$AP$7*Results!E296</f>
        <v>1102628.6223909981</v>
      </c>
      <c r="K296" s="28" t="str">
        <f t="shared" ca="1" si="31"/>
        <v>No</v>
      </c>
    </row>
    <row r="297" spans="2:11" ht="11.25" hidden="1">
      <c r="B297" s="27">
        <v>295</v>
      </c>
      <c r="C297" s="24">
        <f t="shared" ca="1" si="28"/>
        <v>5.0065592636510531E-2</v>
      </c>
      <c r="D297" s="24">
        <f t="shared" ca="1" si="29"/>
        <v>3.965277936845648E-2</v>
      </c>
      <c r="E297" s="24">
        <f t="shared" ca="1" si="30"/>
        <v>3.6550972659766916E-2</v>
      </c>
      <c r="F297" s="25">
        <f ca="1">'Single Simulation'!$AP$4*Results!C297</f>
        <v>94929.172890150716</v>
      </c>
      <c r="G297" s="25">
        <f ca="1">'Single Simulation'!$AP$5*Results!D297</f>
        <v>37505.533282185519</v>
      </c>
      <c r="H297" s="25">
        <f t="shared" ca="1" si="26"/>
        <v>57423.639607965197</v>
      </c>
      <c r="I297" s="25">
        <f t="shared" ca="1" si="27"/>
        <v>2098.8898813350443</v>
      </c>
      <c r="J297" s="25">
        <f ca="1">'Single Simulation'!$AP$7*Results!E297</f>
        <v>510691.43567326578</v>
      </c>
      <c r="K297" s="28" t="str">
        <f t="shared" ca="1" si="31"/>
        <v>No</v>
      </c>
    </row>
    <row r="298" spans="2:11" ht="11.25" hidden="1">
      <c r="B298" s="27">
        <v>296</v>
      </c>
      <c r="C298" s="29">
        <f t="shared" ca="1" si="28"/>
        <v>4.9956274239138725E-2</v>
      </c>
      <c r="D298" s="29">
        <f t="shared" ca="1" si="29"/>
        <v>5.1410608403136944E-2</v>
      </c>
      <c r="E298" s="29">
        <f t="shared" ca="1" si="30"/>
        <v>9.5951405028601305E-2</v>
      </c>
      <c r="F298" s="30">
        <f ca="1">'Single Simulation'!$AP$4*Results!C298</f>
        <v>94721.894707716609</v>
      </c>
      <c r="G298" s="30">
        <f ca="1">'Single Simulation'!$AP$5*Results!D298</f>
        <v>48626.661616943689</v>
      </c>
      <c r="H298" s="30">
        <f t="shared" ca="1" si="26"/>
        <v>46095.233090772919</v>
      </c>
      <c r="I298" s="30">
        <f t="shared" ca="1" si="27"/>
        <v>4422.9023801805379</v>
      </c>
      <c r="J298" s="25">
        <f ca="1">'Single Simulation'!$AP$7*Results!E298</f>
        <v>1340636.30111987</v>
      </c>
      <c r="K298" s="28" t="str">
        <f t="shared" ca="1" si="31"/>
        <v>No</v>
      </c>
    </row>
    <row r="299" spans="2:11" ht="11.25" hidden="1">
      <c r="B299" s="27">
        <v>297</v>
      </c>
      <c r="C299" s="24">
        <f t="shared" ca="1" si="28"/>
        <v>0.106925692836826</v>
      </c>
      <c r="D299" s="24">
        <f t="shared" ca="1" si="29"/>
        <v>4.1042997753465246E-2</v>
      </c>
      <c r="E299" s="24">
        <f t="shared" ca="1" si="30"/>
        <v>6.4529151041907429E-2</v>
      </c>
      <c r="F299" s="25">
        <f ca="1">'Single Simulation'!$AP$4*Results!C299</f>
        <v>202741.38479495418</v>
      </c>
      <c r="G299" s="25">
        <f ca="1">'Single Simulation'!$AP$5*Results!D299</f>
        <v>38820.469655849411</v>
      </c>
      <c r="H299" s="25">
        <f t="shared" ca="1" si="26"/>
        <v>163920.91513910476</v>
      </c>
      <c r="I299" s="25">
        <f t="shared" ca="1" si="27"/>
        <v>10577.677491938981</v>
      </c>
      <c r="J299" s="25">
        <f ca="1">'Single Simulation'!$AP$7*Results!E299</f>
        <v>901603.49753545702</v>
      </c>
      <c r="K299" s="28" t="str">
        <f t="shared" ca="1" si="31"/>
        <v>No</v>
      </c>
    </row>
    <row r="300" spans="2:11" ht="11.25" hidden="1">
      <c r="B300" s="27">
        <v>298</v>
      </c>
      <c r="C300" s="29">
        <f t="shared" ca="1" si="28"/>
        <v>5.0204226085376912E-2</v>
      </c>
      <c r="D300" s="29">
        <f t="shared" ca="1" si="29"/>
        <v>6.3035667178369711E-2</v>
      </c>
      <c r="E300" s="29">
        <f t="shared" ca="1" si="30"/>
        <v>-6.7200375573765458E-3</v>
      </c>
      <c r="F300" s="30">
        <f ca="1">'Single Simulation'!$AP$4*Results!C300</f>
        <v>95192.035226193402</v>
      </c>
      <c r="G300" s="30">
        <f ca="1">'Single Simulation'!$AP$5*Results!D300</f>
        <v>59622.209362802176</v>
      </c>
      <c r="H300" s="30">
        <f t="shared" ca="1" si="26"/>
        <v>35569.825863391226</v>
      </c>
      <c r="I300" s="30">
        <f t="shared" ca="1" si="27"/>
        <v>-239.03056571133266</v>
      </c>
      <c r="J300" s="25">
        <f ca="1">'Single Simulation'!$AP$7*Results!E300</f>
        <v>-93892.593773092201</v>
      </c>
      <c r="K300" s="28" t="str">
        <f t="shared" ca="1" si="31"/>
        <v>No</v>
      </c>
    </row>
    <row r="301" spans="2:11" ht="11.25" hidden="1">
      <c r="B301" s="27">
        <v>299</v>
      </c>
      <c r="C301" s="24">
        <f t="shared" ca="1" si="28"/>
        <v>2.312202231221229E-2</v>
      </c>
      <c r="D301" s="24">
        <f t="shared" ca="1" si="29"/>
        <v>4.6549526137043593E-2</v>
      </c>
      <c r="E301" s="24">
        <f t="shared" ca="1" si="30"/>
        <v>9.5856898684144765E-2</v>
      </c>
      <c r="F301" s="25">
        <f ca="1">'Single Simulation'!$AP$4*Results!C301</f>
        <v>43841.575382556119</v>
      </c>
      <c r="G301" s="25">
        <f ca="1">'Single Simulation'!$AP$5*Results!D301</f>
        <v>44028.812850170019</v>
      </c>
      <c r="H301" s="25">
        <f t="shared" ca="1" si="26"/>
        <v>-187.23746761390066</v>
      </c>
      <c r="I301" s="25">
        <f t="shared" ca="1" si="27"/>
        <v>-17.948002962941512</v>
      </c>
      <c r="J301" s="25">
        <f ca="1">'Single Simulation'!$AP$7*Results!E301</f>
        <v>1339315.8552543111</v>
      </c>
      <c r="K301" s="28" t="str">
        <f t="shared" ca="1" si="31"/>
        <v>No</v>
      </c>
    </row>
    <row r="302" spans="2:11" ht="11.25" hidden="1">
      <c r="B302" s="27">
        <v>300</v>
      </c>
      <c r="C302" s="29">
        <f t="shared" ca="1" si="28"/>
        <v>7.758313075734069E-2</v>
      </c>
      <c r="D302" s="29">
        <f t="shared" ca="1" si="29"/>
        <v>5.3656948339916417E-2</v>
      </c>
      <c r="E302" s="29">
        <f t="shared" ca="1" si="30"/>
        <v>0.13727886959537189</v>
      </c>
      <c r="F302" s="30">
        <f ca="1">'Single Simulation'!$AP$4*Results!C302</f>
        <v>147105.06847474887</v>
      </c>
      <c r="G302" s="30">
        <f ca="1">'Single Simulation'!$AP$5*Results!D302</f>
        <v>50751.359522205923</v>
      </c>
      <c r="H302" s="30">
        <f t="shared" ca="1" si="26"/>
        <v>96353.708952542947</v>
      </c>
      <c r="I302" s="30">
        <f t="shared" ca="1" si="27"/>
        <v>13227.32824632656</v>
      </c>
      <c r="J302" s="25">
        <f ca="1">'Single Simulation'!$AP$7*Results!E302</f>
        <v>1918065.0445024457</v>
      </c>
      <c r="K302" s="28" t="str">
        <f t="shared" ca="1" si="31"/>
        <v>No</v>
      </c>
    </row>
    <row r="303" spans="2:11" ht="11.25" hidden="1">
      <c r="B303" s="27">
        <v>301</v>
      </c>
      <c r="C303" s="24">
        <f t="shared" ca="1" si="28"/>
        <v>8.2212453438684288E-2</v>
      </c>
      <c r="D303" s="24">
        <f t="shared" ca="1" si="29"/>
        <v>4.9814012520754875E-2</v>
      </c>
      <c r="E303" s="24">
        <f t="shared" ca="1" si="30"/>
        <v>0.15762481837917761</v>
      </c>
      <c r="F303" s="25">
        <f ca="1">'Single Simulation'!$AP$4*Results!C303</f>
        <v>155882.7089667359</v>
      </c>
      <c r="G303" s="25">
        <f ca="1">'Single Simulation'!$AP$5*Results!D303</f>
        <v>47116.52333764526</v>
      </c>
      <c r="H303" s="25">
        <f t="shared" ca="1" si="26"/>
        <v>108766.18562909064</v>
      </c>
      <c r="I303" s="25">
        <f t="shared" ca="1" si="27"/>
        <v>17144.25025558133</v>
      </c>
      <c r="J303" s="25">
        <f ca="1">'Single Simulation'!$AP$7*Results!E303</f>
        <v>2202339.3343074257</v>
      </c>
      <c r="K303" s="28" t="str">
        <f t="shared" ca="1" si="31"/>
        <v>No</v>
      </c>
    </row>
    <row r="304" spans="2:11" ht="11.25" hidden="1">
      <c r="B304" s="27">
        <v>302</v>
      </c>
      <c r="C304" s="29">
        <f t="shared" ca="1" si="28"/>
        <v>2.2506172760991254E-2</v>
      </c>
      <c r="D304" s="29">
        <f t="shared" ca="1" si="29"/>
        <v>2.7420531431079833E-2</v>
      </c>
      <c r="E304" s="29">
        <f t="shared" ca="1" si="30"/>
        <v>9.6933360032731633E-2</v>
      </c>
      <c r="F304" s="30">
        <f ca="1">'Single Simulation'!$AP$4*Results!C304</f>
        <v>42673.865475542058</v>
      </c>
      <c r="G304" s="30">
        <f ca="1">'Single Simulation'!$AP$5*Results!D304</f>
        <v>25935.67640359862</v>
      </c>
      <c r="H304" s="30">
        <f t="shared" ca="1" si="26"/>
        <v>16738.189071943438</v>
      </c>
      <c r="I304" s="30">
        <f t="shared" ca="1" si="27"/>
        <v>1622.4889076066274</v>
      </c>
      <c r="J304" s="25">
        <f ca="1">'Single Simulation'!$AP$7*Results!E304</f>
        <v>1354356.2099029776</v>
      </c>
      <c r="K304" s="28" t="str">
        <f t="shared" ca="1" si="31"/>
        <v>No</v>
      </c>
    </row>
    <row r="305" spans="2:11" ht="11.25" hidden="1">
      <c r="B305" s="27">
        <v>303</v>
      </c>
      <c r="C305" s="24">
        <f t="shared" ca="1" si="28"/>
        <v>4.5204394336856815E-2</v>
      </c>
      <c r="D305" s="24">
        <f t="shared" ca="1" si="29"/>
        <v>3.3630010318141737E-2</v>
      </c>
      <c r="E305" s="24">
        <f t="shared" ca="1" si="30"/>
        <v>3.4308275730334251E-2</v>
      </c>
      <c r="F305" s="25">
        <f ca="1">'Single Simulation'!$AP$4*Results!C305</f>
        <v>85711.873952105074</v>
      </c>
      <c r="G305" s="25">
        <f ca="1">'Single Simulation'!$AP$5*Results!D305</f>
        <v>31808.904479232351</v>
      </c>
      <c r="H305" s="25">
        <f t="shared" ca="1" si="26"/>
        <v>53902.969472872719</v>
      </c>
      <c r="I305" s="25">
        <f t="shared" ca="1" si="27"/>
        <v>1849.3179393591072</v>
      </c>
      <c r="J305" s="25">
        <f ca="1">'Single Simulation'!$AP$7*Results!E305</f>
        <v>479356.39774327114</v>
      </c>
      <c r="K305" s="28" t="str">
        <f t="shared" ca="1" si="31"/>
        <v>No</v>
      </c>
    </row>
    <row r="306" spans="2:11" ht="11.25" hidden="1">
      <c r="B306" s="27">
        <v>304</v>
      </c>
      <c r="C306" s="29">
        <f t="shared" ca="1" si="28"/>
        <v>0.02</v>
      </c>
      <c r="D306" s="29">
        <f t="shared" ca="1" si="29"/>
        <v>5.904075480593151E-2</v>
      </c>
      <c r="E306" s="29">
        <f t="shared" ca="1" si="30"/>
        <v>1.3222065826661432E-2</v>
      </c>
      <c r="F306" s="30">
        <f ca="1">'Single Simulation'!$AP$4*Results!C306</f>
        <v>37921.921180225181</v>
      </c>
      <c r="G306" s="30">
        <f ca="1">'Single Simulation'!$AP$5*Results!D306</f>
        <v>55843.626339613504</v>
      </c>
      <c r="H306" s="30">
        <f t="shared" ca="1" si="26"/>
        <v>-17921.705159388322</v>
      </c>
      <c r="I306" s="30">
        <f t="shared" ca="1" si="27"/>
        <v>-236.9619653434502</v>
      </c>
      <c r="J306" s="25">
        <f ca="1">'Single Simulation'!$AP$7*Results!E306</f>
        <v>184739.15434312855</v>
      </c>
      <c r="K306" s="28" t="str">
        <f t="shared" ca="1" si="31"/>
        <v>No</v>
      </c>
    </row>
    <row r="307" spans="2:11" ht="11.25" hidden="1">
      <c r="B307" s="27">
        <v>305</v>
      </c>
      <c r="C307" s="24">
        <f t="shared" ca="1" si="28"/>
        <v>6.8081420942072146E-2</v>
      </c>
      <c r="D307" s="24">
        <f t="shared" ca="1" si="29"/>
        <v>5.3594475661408472E-2</v>
      </c>
      <c r="E307" s="24">
        <f t="shared" ca="1" si="30"/>
        <v>5.694346268296846E-3</v>
      </c>
      <c r="F307" s="25">
        <f ca="1">'Single Simulation'!$AP$4*Results!C307</f>
        <v>129088.91394014958</v>
      </c>
      <c r="G307" s="25">
        <f ca="1">'Single Simulation'!$AP$5*Results!D307</f>
        <v>50692.269814994354</v>
      </c>
      <c r="H307" s="25">
        <f t="shared" ref="H307:H370" ca="1" si="32">F307-G307</f>
        <v>78396.644125155231</v>
      </c>
      <c r="I307" s="25">
        <f t="shared" ref="I307:I370" ca="1" si="33">H307*E307</f>
        <v>446.41763792107355</v>
      </c>
      <c r="J307" s="25">
        <f ca="1">'Single Simulation'!$AP$7*Results!E307</f>
        <v>79561.600126122721</v>
      </c>
      <c r="K307" s="28" t="str">
        <f t="shared" ca="1" si="31"/>
        <v>No</v>
      </c>
    </row>
    <row r="308" spans="2:11" ht="11.25" hidden="1">
      <c r="B308" s="27">
        <v>306</v>
      </c>
      <c r="C308" s="29">
        <f t="shared" ca="1" si="28"/>
        <v>5.0154727732876089E-2</v>
      </c>
      <c r="D308" s="29">
        <f t="shared" ca="1" si="29"/>
        <v>4.2035010594456225E-2</v>
      </c>
      <c r="E308" s="29">
        <f t="shared" ca="1" si="30"/>
        <v>0.11131939301202168</v>
      </c>
      <c r="F308" s="30">
        <f ca="1">'Single Simulation'!$AP$4*Results!C308</f>
        <v>95098.181595089045</v>
      </c>
      <c r="G308" s="30">
        <f ca="1">'Single Simulation'!$AP$5*Results!D308</f>
        <v>39758.763798573229</v>
      </c>
      <c r="H308" s="30">
        <f t="shared" ca="1" si="32"/>
        <v>55339.417796515816</v>
      </c>
      <c r="I308" s="30">
        <f t="shared" ca="1" si="33"/>
        <v>6160.3503987468112</v>
      </c>
      <c r="J308" s="25">
        <f ca="1">'Single Simulation'!$AP$7*Results!E308</f>
        <v>1555358.3529710749</v>
      </c>
      <c r="K308" s="28" t="str">
        <f t="shared" ca="1" si="31"/>
        <v>No</v>
      </c>
    </row>
    <row r="309" spans="2:11" ht="11.25" hidden="1">
      <c r="B309" s="27">
        <v>307</v>
      </c>
      <c r="C309" s="24">
        <f t="shared" ca="1" si="28"/>
        <v>5.1461956696994562E-2</v>
      </c>
      <c r="D309" s="24">
        <f t="shared" ca="1" si="29"/>
        <v>5.1297361846061595E-2</v>
      </c>
      <c r="E309" s="24">
        <f t="shared" ca="1" si="30"/>
        <v>7.455441914443231E-2</v>
      </c>
      <c r="F309" s="25">
        <f ca="1">'Single Simulation'!$AP$4*Results!C309</f>
        <v>97576.813282179457</v>
      </c>
      <c r="G309" s="25">
        <f ca="1">'Single Simulation'!$AP$5*Results!D309</f>
        <v>48519.547498258202</v>
      </c>
      <c r="H309" s="25">
        <f t="shared" ca="1" si="32"/>
        <v>49057.265783921255</v>
      </c>
      <c r="I309" s="25">
        <f t="shared" ca="1" si="33"/>
        <v>3657.4359553342829</v>
      </c>
      <c r="J309" s="25">
        <f ca="1">'Single Simulation'!$AP$7*Results!E309</f>
        <v>1041676.8851288715</v>
      </c>
      <c r="K309" s="28" t="str">
        <f t="shared" ca="1" si="31"/>
        <v>No</v>
      </c>
    </row>
    <row r="310" spans="2:11" ht="11.25" hidden="1">
      <c r="B310" s="27">
        <v>308</v>
      </c>
      <c r="C310" s="29">
        <f t="shared" ca="1" si="28"/>
        <v>3.8123939807075201E-2</v>
      </c>
      <c r="D310" s="29">
        <f t="shared" ca="1" si="29"/>
        <v>6.2897531926347158E-2</v>
      </c>
      <c r="E310" s="29">
        <f t="shared" ca="1" si="30"/>
        <v>2.4687124180888059E-2</v>
      </c>
      <c r="F310" s="30">
        <f ca="1">'Single Simulation'!$AP$4*Results!C310</f>
        <v>72286.652022177746</v>
      </c>
      <c r="G310" s="30">
        <f ca="1">'Single Simulation'!$AP$5*Results!D310</f>
        <v>59491.554302181219</v>
      </c>
      <c r="H310" s="30">
        <f t="shared" ca="1" si="32"/>
        <v>12795.097719996527</v>
      </c>
      <c r="I310" s="30">
        <f t="shared" ca="1" si="33"/>
        <v>315.87416632015197</v>
      </c>
      <c r="J310" s="25">
        <f ca="1">'Single Simulation'!$AP$7*Results!E310</f>
        <v>344929.3404019174</v>
      </c>
      <c r="K310" s="28" t="str">
        <f t="shared" ca="1" si="31"/>
        <v>No</v>
      </c>
    </row>
    <row r="311" spans="2:11" ht="11.25" hidden="1">
      <c r="B311" s="27">
        <v>309</v>
      </c>
      <c r="C311" s="24">
        <f t="shared" ca="1" si="28"/>
        <v>5.3743853874452095E-2</v>
      </c>
      <c r="D311" s="24">
        <f t="shared" ca="1" si="29"/>
        <v>3.6438604307854248E-2</v>
      </c>
      <c r="E311" s="24">
        <f t="shared" ca="1" si="30"/>
        <v>1.3332292430541216E-2</v>
      </c>
      <c r="F311" s="25">
        <f ca="1">'Single Simulation'!$AP$4*Results!C311</f>
        <v>101903.50952742559</v>
      </c>
      <c r="G311" s="25">
        <f ca="1">'Single Simulation'!$AP$5*Results!D311</f>
        <v>34465.409698664822</v>
      </c>
      <c r="H311" s="25">
        <f t="shared" ca="1" si="32"/>
        <v>67438.099828760765</v>
      </c>
      <c r="I311" s="25">
        <f t="shared" ca="1" si="33"/>
        <v>899.10446787707008</v>
      </c>
      <c r="J311" s="25">
        <f ca="1">'Single Simulation'!$AP$7*Results!E311</f>
        <v>186279.24420910134</v>
      </c>
      <c r="K311" s="28" t="str">
        <f t="shared" ca="1" si="31"/>
        <v>No</v>
      </c>
    </row>
    <row r="312" spans="2:11" ht="11.25" hidden="1">
      <c r="B312" s="27">
        <v>310</v>
      </c>
      <c r="C312" s="29">
        <f t="shared" ca="1" si="28"/>
        <v>8.1528503897195861E-2</v>
      </c>
      <c r="D312" s="29">
        <f t="shared" ca="1" si="29"/>
        <v>3.66436691538925E-2</v>
      </c>
      <c r="E312" s="29">
        <f t="shared" ca="1" si="30"/>
        <v>5.6641054243976766E-2</v>
      </c>
      <c r="F312" s="30">
        <f ca="1">'Single Simulation'!$AP$4*Results!C312</f>
        <v>154585.87493655714</v>
      </c>
      <c r="G312" s="30">
        <f ca="1">'Single Simulation'!$AP$5*Results!D312</f>
        <v>34659.370034625834</v>
      </c>
      <c r="H312" s="30">
        <f t="shared" ca="1" si="32"/>
        <v>119926.5049019313</v>
      </c>
      <c r="I312" s="30">
        <f t="shared" ca="1" si="33"/>
        <v>6792.7636694408366</v>
      </c>
      <c r="J312" s="25">
        <f ca="1">'Single Simulation'!$AP$7*Results!E312</f>
        <v>791390.74024544109</v>
      </c>
      <c r="K312" s="28" t="str">
        <f t="shared" ca="1" si="31"/>
        <v>No</v>
      </c>
    </row>
    <row r="313" spans="2:11" ht="11.25" hidden="1">
      <c r="B313" s="27">
        <v>311</v>
      </c>
      <c r="C313" s="24">
        <f t="shared" ca="1" si="28"/>
        <v>8.5080916172286788E-2</v>
      </c>
      <c r="D313" s="24">
        <f t="shared" ca="1" si="29"/>
        <v>6.0747869236753071E-2</v>
      </c>
      <c r="E313" s="24">
        <f t="shared" ca="1" si="30"/>
        <v>9.1702378860780642E-2</v>
      </c>
      <c r="F313" s="25">
        <f ca="1">'Single Simulation'!$AP$4*Results!C313</f>
        <v>161321.58985134025</v>
      </c>
      <c r="G313" s="25">
        <f ca="1">'Single Simulation'!$AP$5*Results!D313</f>
        <v>57458.298453937212</v>
      </c>
      <c r="H313" s="25">
        <f t="shared" ca="1" si="32"/>
        <v>103863.29139740304</v>
      </c>
      <c r="I313" s="25">
        <f t="shared" ca="1" si="33"/>
        <v>9524.5108974523118</v>
      </c>
      <c r="J313" s="25">
        <f ca="1">'Single Simulation'!$AP$7*Results!E313</f>
        <v>1281268.7626946573</v>
      </c>
      <c r="K313" s="28" t="str">
        <f t="shared" ca="1" si="31"/>
        <v>No</v>
      </c>
    </row>
    <row r="314" spans="2:11" ht="11.25" hidden="1">
      <c r="B314" s="27">
        <v>312</v>
      </c>
      <c r="C314" s="29">
        <f t="shared" ca="1" si="28"/>
        <v>6.1989547570287649E-2</v>
      </c>
      <c r="D314" s="29">
        <f t="shared" ca="1" si="29"/>
        <v>4.4379090181717144E-2</v>
      </c>
      <c r="E314" s="29">
        <f t="shared" ca="1" si="30"/>
        <v>3.7974380238504253E-2</v>
      </c>
      <c r="F314" s="30">
        <f ca="1">'Single Simulation'!$AP$4*Results!C314</f>
        <v>117538.13684791337</v>
      </c>
      <c r="G314" s="30">
        <f ca="1">'Single Simulation'!$AP$5*Results!D314</f>
        <v>41975.908633722989</v>
      </c>
      <c r="H314" s="30">
        <f t="shared" ca="1" si="32"/>
        <v>75562.228214190371</v>
      </c>
      <c r="I314" s="30">
        <f t="shared" ca="1" si="33"/>
        <v>2869.4287858742991</v>
      </c>
      <c r="J314" s="25">
        <f ca="1">'Single Simulation'!$AP$7*Results!E314</f>
        <v>530579.3348736536</v>
      </c>
      <c r="K314" s="28" t="str">
        <f t="shared" ca="1" si="31"/>
        <v>No</v>
      </c>
    </row>
    <row r="315" spans="2:11" ht="11.25" hidden="1">
      <c r="B315" s="27">
        <v>313</v>
      </c>
      <c r="C315" s="24">
        <f t="shared" ca="1" si="28"/>
        <v>5.3054513427890727E-2</v>
      </c>
      <c r="D315" s="24">
        <f t="shared" ca="1" si="29"/>
        <v>6.3068239226670958E-2</v>
      </c>
      <c r="E315" s="24">
        <f t="shared" ca="1" si="30"/>
        <v>9.7783343193998992E-2</v>
      </c>
      <c r="F315" s="25">
        <f ca="1">'Single Simulation'!$AP$4*Results!C315</f>
        <v>100596.45382338352</v>
      </c>
      <c r="G315" s="25">
        <f ca="1">'Single Simulation'!$AP$5*Results!D315</f>
        <v>59653.01759519062</v>
      </c>
      <c r="H315" s="25">
        <f t="shared" ca="1" si="32"/>
        <v>40943.436228192899</v>
      </c>
      <c r="I315" s="25">
        <f t="shared" ca="1" si="33"/>
        <v>4003.5860762429979</v>
      </c>
      <c r="J315" s="25">
        <f ca="1">'Single Simulation'!$AP$7*Results!E315</f>
        <v>1366232.2035999536</v>
      </c>
      <c r="K315" s="28" t="str">
        <f t="shared" ca="1" si="31"/>
        <v>No</v>
      </c>
    </row>
    <row r="316" spans="2:11" ht="11.25" hidden="1">
      <c r="B316" s="27">
        <v>314</v>
      </c>
      <c r="C316" s="29">
        <f t="shared" ca="1" si="28"/>
        <v>6.0514069806674585E-2</v>
      </c>
      <c r="D316" s="29">
        <f t="shared" ca="1" si="29"/>
        <v>4.3085140823319698E-2</v>
      </c>
      <c r="E316" s="29">
        <f t="shared" ca="1" si="30"/>
        <v>8.0363705040854147E-2</v>
      </c>
      <c r="F316" s="30">
        <f ca="1">'Single Simulation'!$AP$4*Results!C316</f>
        <v>114740.4892751679</v>
      </c>
      <c r="G316" s="30">
        <f ca="1">'Single Simulation'!$AP$5*Results!D316</f>
        <v>40752.028202142355</v>
      </c>
      <c r="H316" s="30">
        <f t="shared" ca="1" si="32"/>
        <v>73988.461073025537</v>
      </c>
      <c r="I316" s="30">
        <f t="shared" ca="1" si="33"/>
        <v>5945.9868620993429</v>
      </c>
      <c r="J316" s="25">
        <f ca="1">'Single Simulation'!$AP$7*Results!E316</f>
        <v>1122844.4256563429</v>
      </c>
      <c r="K316" s="28" t="str">
        <f t="shared" ca="1" si="31"/>
        <v>No</v>
      </c>
    </row>
    <row r="317" spans="2:11" ht="11.25" hidden="1">
      <c r="B317" s="27">
        <v>315</v>
      </c>
      <c r="C317" s="24">
        <f t="shared" ca="1" si="28"/>
        <v>2.1506470599542929E-2</v>
      </c>
      <c r="D317" s="24">
        <f t="shared" ca="1" si="29"/>
        <v>4.925245293256536E-2</v>
      </c>
      <c r="E317" s="24">
        <f t="shared" ca="1" si="30"/>
        <v>1.5256316977233765E-2</v>
      </c>
      <c r="F317" s="25">
        <f ca="1">'Single Simulation'!$AP$4*Results!C317</f>
        <v>40778.334147034853</v>
      </c>
      <c r="G317" s="25">
        <f ca="1">'Single Simulation'!$AP$5*Results!D317</f>
        <v>46585.372882110569</v>
      </c>
      <c r="H317" s="25">
        <f t="shared" ca="1" si="32"/>
        <v>-5807.0387350757155</v>
      </c>
      <c r="I317" s="25">
        <f t="shared" ca="1" si="33"/>
        <v>-88.594023641389725</v>
      </c>
      <c r="J317" s="25">
        <f ca="1">'Single Simulation'!$AP$7*Results!E317</f>
        <v>213161.78074697545</v>
      </c>
      <c r="K317" s="28" t="str">
        <f t="shared" ca="1" si="31"/>
        <v>No</v>
      </c>
    </row>
    <row r="318" spans="2:11" ht="11.25" hidden="1">
      <c r="B318" s="27">
        <v>316</v>
      </c>
      <c r="C318" s="29">
        <f t="shared" ca="1" si="28"/>
        <v>7.7313278801290103E-2</v>
      </c>
      <c r="D318" s="29">
        <f t="shared" ca="1" si="29"/>
        <v>3.9803980453089312E-2</v>
      </c>
      <c r="E318" s="29">
        <f t="shared" ca="1" si="30"/>
        <v>8.4015631372382327E-2</v>
      </c>
      <c r="F318" s="30">
        <f ca="1">'Single Simulation'!$AP$4*Results!C318</f>
        <v>146593.40324436486</v>
      </c>
      <c r="G318" s="30">
        <f ca="1">'Single Simulation'!$AP$5*Results!D318</f>
        <v>37648.546644737115</v>
      </c>
      <c r="H318" s="30">
        <f t="shared" ca="1" si="32"/>
        <v>108944.85659962775</v>
      </c>
      <c r="I318" s="30">
        <f t="shared" ca="1" si="33"/>
        <v>9153.070911991379</v>
      </c>
      <c r="J318" s="25">
        <f ca="1">'Single Simulation'!$AP$7*Results!E318</f>
        <v>1173869.2648194882</v>
      </c>
      <c r="K318" s="28" t="str">
        <f t="shared" ca="1" si="31"/>
        <v>No</v>
      </c>
    </row>
    <row r="319" spans="2:11" ht="11.25" hidden="1">
      <c r="B319" s="27">
        <v>317</v>
      </c>
      <c r="C319" s="24">
        <f t="shared" ca="1" si="28"/>
        <v>9.8790842968039805E-2</v>
      </c>
      <c r="D319" s="24">
        <f t="shared" ca="1" si="29"/>
        <v>4.8218011507461619E-2</v>
      </c>
      <c r="E319" s="24">
        <f t="shared" ca="1" si="30"/>
        <v>0.1354928275586707</v>
      </c>
      <c r="F319" s="25">
        <f ca="1">'Single Simulation'!$AP$4*Results!C319</f>
        <v>187316.92801810041</v>
      </c>
      <c r="G319" s="25">
        <f ca="1">'Single Simulation'!$AP$5*Results!D319</f>
        <v>45606.947714553142</v>
      </c>
      <c r="H319" s="25">
        <f t="shared" ca="1" si="32"/>
        <v>141709.98030354729</v>
      </c>
      <c r="I319" s="25">
        <f t="shared" ca="1" si="33"/>
        <v>19200.685924611153</v>
      </c>
      <c r="J319" s="25">
        <f ca="1">'Single Simulation'!$AP$7*Results!E319</f>
        <v>1893110.4042966671</v>
      </c>
      <c r="K319" s="28" t="str">
        <f t="shared" ca="1" si="31"/>
        <v>No</v>
      </c>
    </row>
    <row r="320" spans="2:11" ht="11.25" hidden="1">
      <c r="B320" s="27">
        <v>318</v>
      </c>
      <c r="C320" s="29">
        <f t="shared" ca="1" si="28"/>
        <v>8.8915427798937421E-2</v>
      </c>
      <c r="D320" s="29">
        <f t="shared" ca="1" si="29"/>
        <v>4.0067560745377179E-2</v>
      </c>
      <c r="E320" s="29">
        <f t="shared" ca="1" si="30"/>
        <v>9.0059108950085426E-2</v>
      </c>
      <c r="F320" s="30">
        <f ca="1">'Single Simulation'!$AP$4*Results!C320</f>
        <v>168592.19223486539</v>
      </c>
      <c r="G320" s="30">
        <f ca="1">'Single Simulation'!$AP$5*Results!D320</f>
        <v>37897.853744576743</v>
      </c>
      <c r="H320" s="30">
        <f t="shared" ca="1" si="32"/>
        <v>130694.33849028865</v>
      </c>
      <c r="I320" s="30">
        <f t="shared" ca="1" si="33"/>
        <v>11770.215669256248</v>
      </c>
      <c r="J320" s="25">
        <f ca="1">'Single Simulation'!$AP$7*Results!E320</f>
        <v>1258308.9394991624</v>
      </c>
      <c r="K320" s="28" t="str">
        <f t="shared" ca="1" si="31"/>
        <v>No</v>
      </c>
    </row>
    <row r="321" spans="2:11" ht="11.25" hidden="1">
      <c r="B321" s="27">
        <v>319</v>
      </c>
      <c r="C321" s="24">
        <f t="shared" ca="1" si="28"/>
        <v>3.8529587367999371E-2</v>
      </c>
      <c r="D321" s="24">
        <f t="shared" ca="1" si="29"/>
        <v>2.4134756069410398E-2</v>
      </c>
      <c r="E321" s="24">
        <f t="shared" ca="1" si="30"/>
        <v>8.0983632682640389E-2</v>
      </c>
      <c r="F321" s="25">
        <f ca="1">'Single Simulation'!$AP$4*Results!C321</f>
        <v>73055.798763793588</v>
      </c>
      <c r="G321" s="25">
        <f ca="1">'Single Simulation'!$AP$5*Results!D321</f>
        <v>22827.829762136946</v>
      </c>
      <c r="H321" s="25">
        <f t="shared" ca="1" si="32"/>
        <v>50227.969001656646</v>
      </c>
      <c r="I321" s="25">
        <f t="shared" ca="1" si="33"/>
        <v>4067.6433920252093</v>
      </c>
      <c r="J321" s="25">
        <f ca="1">'Single Simulation'!$AP$7*Results!E321</f>
        <v>1131506.0757947492</v>
      </c>
      <c r="K321" s="28" t="str">
        <f t="shared" ca="1" si="31"/>
        <v>No</v>
      </c>
    </row>
    <row r="322" spans="2:11" ht="11.25" hidden="1">
      <c r="B322" s="27">
        <v>320</v>
      </c>
      <c r="C322" s="29">
        <f t="shared" ca="1" si="28"/>
        <v>3.0004393014519182E-2</v>
      </c>
      <c r="D322" s="29">
        <f t="shared" ca="1" si="29"/>
        <v>5.7358724994694951E-2</v>
      </c>
      <c r="E322" s="29">
        <f t="shared" ca="1" si="30"/>
        <v>5.1102765905329015E-2</v>
      </c>
      <c r="F322" s="30">
        <f ca="1">'Single Simulation'!$AP$4*Results!C322</f>
        <v>56891.211347854769</v>
      </c>
      <c r="G322" s="30">
        <f ca="1">'Single Simulation'!$AP$5*Results!D322</f>
        <v>54252.680482306336</v>
      </c>
      <c r="H322" s="30">
        <f t="shared" ca="1" si="32"/>
        <v>2638.5308655484332</v>
      </c>
      <c r="I322" s="30">
        <f t="shared" ca="1" si="33"/>
        <v>134.83622515610674</v>
      </c>
      <c r="J322" s="25">
        <f ca="1">'Single Simulation'!$AP$7*Results!E322</f>
        <v>714009.58683088887</v>
      </c>
      <c r="K322" s="28" t="str">
        <f t="shared" ca="1" si="31"/>
        <v>No</v>
      </c>
    </row>
    <row r="323" spans="2:11" ht="11.25" hidden="1">
      <c r="B323" s="27">
        <v>321</v>
      </c>
      <c r="C323" s="24">
        <f t="shared" ca="1" si="28"/>
        <v>6.8108540535761777E-2</v>
      </c>
      <c r="D323" s="24">
        <f t="shared" ca="1" si="29"/>
        <v>5.9473614622234557E-2</v>
      </c>
      <c r="E323" s="24">
        <f t="shared" ca="1" si="30"/>
        <v>-6.1375859735165877E-3</v>
      </c>
      <c r="F323" s="25">
        <f ca="1">'Single Simulation'!$AP$4*Results!C323</f>
        <v>129140.33529486648</v>
      </c>
      <c r="G323" s="25">
        <f ca="1">'Single Simulation'!$AP$5*Results!D323</f>
        <v>56253.046271972373</v>
      </c>
      <c r="H323" s="25">
        <f t="shared" ca="1" si="32"/>
        <v>72887.289022894111</v>
      </c>
      <c r="I323" s="25">
        <f t="shared" ca="1" si="33"/>
        <v>-447.35200275456447</v>
      </c>
      <c r="J323" s="25">
        <f ca="1">'Single Simulation'!$AP$7*Results!E323</f>
        <v>-85754.560393230116</v>
      </c>
      <c r="K323" s="28" t="str">
        <f t="shared" ca="1" si="31"/>
        <v>No</v>
      </c>
    </row>
    <row r="324" spans="2:11" ht="11.25" hidden="1">
      <c r="B324" s="27">
        <v>322</v>
      </c>
      <c r="C324" s="29">
        <f t="shared" ref="C324:C387" ca="1" si="34">MAX(0.02,MIN(0.12,_xlfn.NORM.INV(RAND(),0.06,0.02)))</f>
        <v>6.9102405263855401E-2</v>
      </c>
      <c r="D324" s="29">
        <f t="shared" ref="D324:D387" ca="1" si="35">MAX(0.02,MIN(0.08,_xlfn.NORM.INV(RAND(),0.05,0.015)))</f>
        <v>3.7730584367744818E-2</v>
      </c>
      <c r="E324" s="29">
        <f t="shared" ref="E324:E387" ca="1" si="36">MAX(-0.1,MIN(0.25,_xlfn.NORM.INV(RAND(),0.07,0.04)))</f>
        <v>-7.9627695262346476E-6</v>
      </c>
      <c r="F324" s="30">
        <f ca="1">'Single Simulation'!$AP$4*Results!C324</f>
        <v>131024.79828899509</v>
      </c>
      <c r="G324" s="30">
        <f ca="1">'Single Simulation'!$AP$5*Results!D324</f>
        <v>35687.427471640716</v>
      </c>
      <c r="H324" s="30">
        <f t="shared" ca="1" si="32"/>
        <v>95337.370817354386</v>
      </c>
      <c r="I324" s="30">
        <f t="shared" ca="1" si="33"/>
        <v>-0.75914951105576189</v>
      </c>
      <c r="J324" s="25">
        <f ca="1">'Single Simulation'!$AP$7*Results!E324</f>
        <v>-111.25608719475413</v>
      </c>
      <c r="K324" s="28" t="str">
        <f t="shared" ref="K324:K387" ca="1" si="37">IF(J324&gt;$N$4,"Yes","No")</f>
        <v>No</v>
      </c>
    </row>
    <row r="325" spans="2:11" ht="11.25" hidden="1">
      <c r="B325" s="27">
        <v>323</v>
      </c>
      <c r="C325" s="24">
        <f t="shared" ca="1" si="34"/>
        <v>6.6223031449932981E-2</v>
      </c>
      <c r="D325" s="24">
        <f t="shared" ca="1" si="35"/>
        <v>5.5426153236693962E-2</v>
      </c>
      <c r="E325" s="24">
        <f t="shared" ca="1" si="36"/>
        <v>9.5621594623911912E-2</v>
      </c>
      <c r="F325" s="25">
        <f ca="1">'Single Simulation'!$AP$4*Results!C325</f>
        <v>125565.22894799658</v>
      </c>
      <c r="G325" s="25">
        <f ca="1">'Single Simulation'!$AP$5*Results!D325</f>
        <v>52424.759828462404</v>
      </c>
      <c r="H325" s="25">
        <f t="shared" ca="1" si="32"/>
        <v>73140.469119534187</v>
      </c>
      <c r="I325" s="25">
        <f t="shared" ca="1" si="33"/>
        <v>6993.8082887508453</v>
      </c>
      <c r="J325" s="25">
        <f ca="1">'Single Simulation'!$AP$7*Results!E325</f>
        <v>1336028.1789054861</v>
      </c>
      <c r="K325" s="28" t="str">
        <f t="shared" ca="1" si="37"/>
        <v>No</v>
      </c>
    </row>
    <row r="326" spans="2:11" ht="11.25" hidden="1">
      <c r="B326" s="27">
        <v>324</v>
      </c>
      <c r="C326" s="29">
        <f t="shared" ca="1" si="34"/>
        <v>3.4436556285290743E-2</v>
      </c>
      <c r="D326" s="29">
        <f t="shared" ca="1" si="35"/>
        <v>5.7250292754762677E-2</v>
      </c>
      <c r="E326" s="29">
        <f t="shared" ca="1" si="36"/>
        <v>4.9244849356868355E-2</v>
      </c>
      <c r="F326" s="30">
        <f ca="1">'Single Simulation'!$AP$4*Results!C326</f>
        <v>65295.018658459172</v>
      </c>
      <c r="G326" s="30">
        <f ca="1">'Single Simulation'!$AP$5*Results!D326</f>
        <v>54150.119979652714</v>
      </c>
      <c r="H326" s="30">
        <f t="shared" ca="1" si="32"/>
        <v>11144.898678806458</v>
      </c>
      <c r="I326" s="30">
        <f t="shared" ca="1" si="33"/>
        <v>548.82885653538517</v>
      </c>
      <c r="J326" s="25">
        <f ca="1">'Single Simulation'!$AP$7*Results!E326</f>
        <v>688050.71349729632</v>
      </c>
      <c r="K326" s="28" t="str">
        <f t="shared" ca="1" si="37"/>
        <v>No</v>
      </c>
    </row>
    <row r="327" spans="2:11" ht="11.25" hidden="1">
      <c r="B327" s="27">
        <v>325</v>
      </c>
      <c r="C327" s="24">
        <f t="shared" ca="1" si="34"/>
        <v>5.3597536451678945E-2</v>
      </c>
      <c r="D327" s="24">
        <f t="shared" ca="1" si="35"/>
        <v>5.979660417390191E-2</v>
      </c>
      <c r="E327" s="24">
        <f t="shared" ca="1" si="36"/>
        <v>3.7231971986390534E-2</v>
      </c>
      <c r="F327" s="25">
        <f ca="1">'Single Simulation'!$AP$4*Results!C327</f>
        <v>101626.07763874074</v>
      </c>
      <c r="G327" s="25">
        <f ca="1">'Single Simulation'!$AP$5*Results!D327</f>
        <v>56558.545547755661</v>
      </c>
      <c r="H327" s="25">
        <f t="shared" ca="1" si="32"/>
        <v>45067.532090985078</v>
      </c>
      <c r="I327" s="25">
        <f t="shared" ca="1" si="33"/>
        <v>1677.9530923073128</v>
      </c>
      <c r="J327" s="25">
        <f ca="1">'Single Simulation'!$AP$7*Results!E327</f>
        <v>520206.38147356617</v>
      </c>
      <c r="K327" s="28" t="str">
        <f t="shared" ca="1" si="37"/>
        <v>No</v>
      </c>
    </row>
    <row r="328" spans="2:11" ht="11.25" hidden="1">
      <c r="B328" s="27">
        <v>326</v>
      </c>
      <c r="C328" s="29">
        <f t="shared" ca="1" si="34"/>
        <v>7.4505096467434972E-2</v>
      </c>
      <c r="D328" s="29">
        <f t="shared" ca="1" si="35"/>
        <v>4.0342449850162609E-2</v>
      </c>
      <c r="E328" s="29">
        <f t="shared" ca="1" si="36"/>
        <v>7.7850188662176634E-2</v>
      </c>
      <c r="F328" s="30">
        <f ca="1">'Single Simulation'!$AP$4*Results!C328</f>
        <v>141268.81978815713</v>
      </c>
      <c r="G328" s="30">
        <f ca="1">'Single Simulation'!$AP$5*Results!D328</f>
        <v>38157.857271003988</v>
      </c>
      <c r="H328" s="30">
        <f t="shared" ca="1" si="32"/>
        <v>103110.96251715314</v>
      </c>
      <c r="I328" s="30">
        <f t="shared" ca="1" si="33"/>
        <v>8027.2078850989947</v>
      </c>
      <c r="J328" s="25">
        <f ca="1">'Single Simulation'!$AP$7*Results!E328</f>
        <v>1087725.4891518697</v>
      </c>
      <c r="K328" s="28" t="str">
        <f t="shared" ca="1" si="37"/>
        <v>No</v>
      </c>
    </row>
    <row r="329" spans="2:11" ht="11.25" hidden="1">
      <c r="B329" s="27">
        <v>327</v>
      </c>
      <c r="C329" s="24">
        <f t="shared" ca="1" si="34"/>
        <v>3.0397552406584476E-2</v>
      </c>
      <c r="D329" s="24">
        <f t="shared" ca="1" si="35"/>
        <v>7.6174422384754525E-2</v>
      </c>
      <c r="E329" s="24">
        <f t="shared" ca="1" si="36"/>
        <v>7.8581499916895364E-2</v>
      </c>
      <c r="F329" s="25">
        <f ca="1">'Single Simulation'!$AP$4*Results!C329</f>
        <v>57636.679321713033</v>
      </c>
      <c r="G329" s="25">
        <f ca="1">'Single Simulation'!$AP$5*Results!D329</f>
        <v>72049.485042538101</v>
      </c>
      <c r="H329" s="25">
        <f t="shared" ca="1" si="32"/>
        <v>-14412.805720825068</v>
      </c>
      <c r="I329" s="25">
        <f t="shared" ca="1" si="33"/>
        <v>-1132.5798915532441</v>
      </c>
      <c r="J329" s="25">
        <f ca="1">'Single Simulation'!$AP$7*Results!E329</f>
        <v>1097943.3949261645</v>
      </c>
      <c r="K329" s="28" t="str">
        <f t="shared" ca="1" si="37"/>
        <v>No</v>
      </c>
    </row>
    <row r="330" spans="2:11" ht="11.25" hidden="1">
      <c r="B330" s="27">
        <v>328</v>
      </c>
      <c r="C330" s="29">
        <f t="shared" ca="1" si="34"/>
        <v>5.9247474506850556E-2</v>
      </c>
      <c r="D330" s="29">
        <f t="shared" ca="1" si="35"/>
        <v>2.940227135585673E-2</v>
      </c>
      <c r="E330" s="29">
        <f t="shared" ca="1" si="36"/>
        <v>0.15854511504435709</v>
      </c>
      <c r="F330" s="30">
        <f ca="1">'Single Simulation'!$AP$4*Results!C330</f>
        <v>112338.90291880937</v>
      </c>
      <c r="G330" s="30">
        <f ca="1">'Single Simulation'!$AP$5*Results!D330</f>
        <v>27810.102708365586</v>
      </c>
      <c r="H330" s="30">
        <f t="shared" ca="1" si="32"/>
        <v>84528.800210443791</v>
      </c>
      <c r="I330" s="30">
        <f t="shared" ca="1" si="33"/>
        <v>13401.628353926286</v>
      </c>
      <c r="J330" s="25">
        <f ca="1">'Single Simulation'!$AP$7*Results!E330</f>
        <v>2215197.7506773723</v>
      </c>
      <c r="K330" s="28" t="str">
        <f t="shared" ca="1" si="37"/>
        <v>No</v>
      </c>
    </row>
    <row r="331" spans="2:11" ht="11.25" hidden="1">
      <c r="B331" s="27">
        <v>329</v>
      </c>
      <c r="C331" s="24">
        <f t="shared" ca="1" si="34"/>
        <v>2.3730754808913311E-2</v>
      </c>
      <c r="D331" s="24">
        <f t="shared" ca="1" si="35"/>
        <v>2.7224442203911185E-2</v>
      </c>
      <c r="E331" s="24">
        <f t="shared" ca="1" si="36"/>
        <v>1.81867745978984E-2</v>
      </c>
      <c r="F331" s="25">
        <f ca="1">'Single Simulation'!$AP$4*Results!C331</f>
        <v>44995.790670543007</v>
      </c>
      <c r="G331" s="25">
        <f ca="1">'Single Simulation'!$AP$5*Results!D331</f>
        <v>25750.205645861464</v>
      </c>
      <c r="H331" s="25">
        <f t="shared" ca="1" si="32"/>
        <v>19245.585024681543</v>
      </c>
      <c r="I331" s="25">
        <f t="shared" ca="1" si="33"/>
        <v>350.01511684857212</v>
      </c>
      <c r="J331" s="25">
        <f ca="1">'Single Simulation'!$AP$7*Results!E331</f>
        <v>254106.23449400821</v>
      </c>
      <c r="K331" s="28" t="str">
        <f t="shared" ca="1" si="37"/>
        <v>No</v>
      </c>
    </row>
    <row r="332" spans="2:11" ht="11.25" hidden="1">
      <c r="B332" s="27">
        <v>330</v>
      </c>
      <c r="C332" s="29">
        <f t="shared" ca="1" si="34"/>
        <v>3.4119001546539074E-2</v>
      </c>
      <c r="D332" s="29">
        <f t="shared" ca="1" si="35"/>
        <v>2.6499699422592529E-2</v>
      </c>
      <c r="E332" s="29">
        <f t="shared" ca="1" si="36"/>
        <v>9.708639241879137E-2</v>
      </c>
      <c r="F332" s="30">
        <f ca="1">'Single Simulation'!$AP$4*Results!C332</f>
        <v>64692.904369791788</v>
      </c>
      <c r="G332" s="30">
        <f ca="1">'Single Simulation'!$AP$5*Results!D332</f>
        <v>25064.708564983612</v>
      </c>
      <c r="H332" s="30">
        <f t="shared" ca="1" si="32"/>
        <v>39628.195804808172</v>
      </c>
      <c r="I332" s="30">
        <f t="shared" ca="1" si="33"/>
        <v>3847.3585687543082</v>
      </c>
      <c r="J332" s="25">
        <f ca="1">'Single Simulation'!$AP$7*Results!E332</f>
        <v>1356494.383616406</v>
      </c>
      <c r="K332" s="28" t="str">
        <f t="shared" ca="1" si="37"/>
        <v>No</v>
      </c>
    </row>
    <row r="333" spans="2:11" ht="11.25" hidden="1">
      <c r="B333" s="27">
        <v>331</v>
      </c>
      <c r="C333" s="24">
        <f t="shared" ca="1" si="34"/>
        <v>9.42573825065188E-2</v>
      </c>
      <c r="D333" s="24">
        <f t="shared" ca="1" si="35"/>
        <v>4.6356187483721875E-2</v>
      </c>
      <c r="E333" s="24">
        <f t="shared" ca="1" si="36"/>
        <v>0.12235153529136009</v>
      </c>
      <c r="F333" s="25">
        <f ca="1">'Single Simulation'!$AP$4*Results!C333</f>
        <v>178721.05150332706</v>
      </c>
      <c r="G333" s="25">
        <f ca="1">'Single Simulation'!$AP$5*Results!D333</f>
        <v>43845.943719370604</v>
      </c>
      <c r="H333" s="25">
        <f t="shared" ca="1" si="32"/>
        <v>134875.10778395645</v>
      </c>
      <c r="I333" s="25">
        <f t="shared" ca="1" si="33"/>
        <v>16502.176509954745</v>
      </c>
      <c r="J333" s="25">
        <f ca="1">'Single Simulation'!$AP$7*Results!E333</f>
        <v>1709499.8208775816</v>
      </c>
      <c r="K333" s="28" t="str">
        <f t="shared" ca="1" si="37"/>
        <v>No</v>
      </c>
    </row>
    <row r="334" spans="2:11" ht="11.25" hidden="1">
      <c r="B334" s="27">
        <v>332</v>
      </c>
      <c r="C334" s="29">
        <f t="shared" ca="1" si="34"/>
        <v>3.2498623821931423E-2</v>
      </c>
      <c r="D334" s="29">
        <f t="shared" ca="1" si="35"/>
        <v>6.6780931712628444E-2</v>
      </c>
      <c r="E334" s="29">
        <f t="shared" ca="1" si="36"/>
        <v>6.751662769442035E-2</v>
      </c>
      <c r="F334" s="30">
        <f ca="1">'Single Simulation'!$AP$4*Results!C334</f>
        <v>61620.512552053588</v>
      </c>
      <c r="G334" s="30">
        <f ca="1">'Single Simulation'!$AP$5*Results!D334</f>
        <v>63164.663280974964</v>
      </c>
      <c r="H334" s="30">
        <f t="shared" ca="1" si="32"/>
        <v>-1544.1507289213769</v>
      </c>
      <c r="I334" s="30">
        <f t="shared" ca="1" si="33"/>
        <v>-104.2558498686524</v>
      </c>
      <c r="J334" s="25">
        <f ca="1">'Single Simulation'!$AP$7*Results!E334</f>
        <v>943344.62313870422</v>
      </c>
      <c r="K334" s="28" t="str">
        <f t="shared" ca="1" si="37"/>
        <v>No</v>
      </c>
    </row>
    <row r="335" spans="2:11" ht="11.25" hidden="1">
      <c r="B335" s="27">
        <v>333</v>
      </c>
      <c r="C335" s="24">
        <f t="shared" ca="1" si="34"/>
        <v>0.12</v>
      </c>
      <c r="D335" s="24">
        <f t="shared" ca="1" si="35"/>
        <v>3.3511421359121142E-2</v>
      </c>
      <c r="E335" s="24">
        <f t="shared" ca="1" si="36"/>
        <v>-7.0133429441465722E-4</v>
      </c>
      <c r="F335" s="25">
        <f ca="1">'Single Simulation'!$AP$4*Results!C335</f>
        <v>227531.52708135106</v>
      </c>
      <c r="G335" s="25">
        <f ca="1">'Single Simulation'!$AP$5*Results!D335</f>
        <v>31696.737256145214</v>
      </c>
      <c r="H335" s="25">
        <f t="shared" ca="1" si="32"/>
        <v>195834.78982520584</v>
      </c>
      <c r="I335" s="25">
        <f t="shared" ca="1" si="33"/>
        <v>-137.34565414390343</v>
      </c>
      <c r="J335" s="25">
        <f ca="1">'Single Simulation'!$AP$7*Results!E335</f>
        <v>-9799.0666633001765</v>
      </c>
      <c r="K335" s="28" t="str">
        <f t="shared" ca="1" si="37"/>
        <v>No</v>
      </c>
    </row>
    <row r="336" spans="2:11" ht="11.25" hidden="1">
      <c r="B336" s="27">
        <v>334</v>
      </c>
      <c r="C336" s="29">
        <f t="shared" ca="1" si="34"/>
        <v>6.0508517483177551E-2</v>
      </c>
      <c r="D336" s="29">
        <f t="shared" ca="1" si="35"/>
        <v>3.1389537348772714E-2</v>
      </c>
      <c r="E336" s="29">
        <f t="shared" ca="1" si="36"/>
        <v>-9.7943096356605808E-3</v>
      </c>
      <c r="F336" s="30">
        <f ca="1">'Single Simulation'!$AP$4*Results!C336</f>
        <v>114729.96153646681</v>
      </c>
      <c r="G336" s="30">
        <f ca="1">'Single Simulation'!$AP$5*Results!D336</f>
        <v>29689.755837980931</v>
      </c>
      <c r="H336" s="30">
        <f t="shared" ca="1" si="32"/>
        <v>85040.205698485879</v>
      </c>
      <c r="I336" s="30">
        <f t="shared" ca="1" si="33"/>
        <v>-832.91010609123805</v>
      </c>
      <c r="J336" s="25">
        <f ca="1">'Single Simulation'!$AP$7*Results!E336</f>
        <v>-136846.42802323442</v>
      </c>
      <c r="K336" s="28" t="str">
        <f t="shared" ca="1" si="37"/>
        <v>No</v>
      </c>
    </row>
    <row r="337" spans="2:11" ht="11.25" hidden="1">
      <c r="B337" s="27">
        <v>335</v>
      </c>
      <c r="C337" s="24">
        <f t="shared" ca="1" si="34"/>
        <v>7.5615929977724178E-2</v>
      </c>
      <c r="D337" s="24">
        <f t="shared" ca="1" si="35"/>
        <v>5.1520619097045028E-2</v>
      </c>
      <c r="E337" s="24">
        <f t="shared" ca="1" si="36"/>
        <v>5.5308255991790706E-2</v>
      </c>
      <c r="F337" s="25">
        <f ca="1">'Single Simulation'!$AP$4*Results!C337</f>
        <v>143375.06682923413</v>
      </c>
      <c r="G337" s="25">
        <f ca="1">'Single Simulation'!$AP$5*Results!D337</f>
        <v>48730.715098376269</v>
      </c>
      <c r="H337" s="25">
        <f t="shared" ca="1" si="32"/>
        <v>94644.351730857859</v>
      </c>
      <c r="I337" s="25">
        <f t="shared" ca="1" si="33"/>
        <v>5234.6140337073666</v>
      </c>
      <c r="J337" s="25">
        <f ca="1">'Single Simulation'!$AP$7*Results!E337</f>
        <v>772768.83764362778</v>
      </c>
      <c r="K337" s="28" t="str">
        <f t="shared" ca="1" si="37"/>
        <v>No</v>
      </c>
    </row>
    <row r="338" spans="2:11" ht="11.25" hidden="1">
      <c r="B338" s="27">
        <v>336</v>
      </c>
      <c r="C338" s="29">
        <f t="shared" ca="1" si="34"/>
        <v>7.7370874727400687E-2</v>
      </c>
      <c r="D338" s="29">
        <f t="shared" ca="1" si="35"/>
        <v>5.1290730882285467E-2</v>
      </c>
      <c r="E338" s="29">
        <f t="shared" ca="1" si="36"/>
        <v>0.10970219922306476</v>
      </c>
      <c r="F338" s="30">
        <f ca="1">'Single Simulation'!$AP$4*Results!C338</f>
        <v>146702.61065287824</v>
      </c>
      <c r="G338" s="30">
        <f ca="1">'Single Simulation'!$AP$5*Results!D338</f>
        <v>48513.275609211341</v>
      </c>
      <c r="H338" s="30">
        <f t="shared" ca="1" si="32"/>
        <v>98189.335043666899</v>
      </c>
      <c r="I338" s="30">
        <f t="shared" ca="1" si="33"/>
        <v>10771.585994540601</v>
      </c>
      <c r="J338" s="25">
        <f ca="1">'Single Simulation'!$AP$7*Results!E338</f>
        <v>1532762.8662371915</v>
      </c>
      <c r="K338" s="28" t="str">
        <f t="shared" ca="1" si="37"/>
        <v>No</v>
      </c>
    </row>
    <row r="339" spans="2:11" ht="11.25" hidden="1">
      <c r="B339" s="27">
        <v>337</v>
      </c>
      <c r="C339" s="24">
        <f t="shared" ca="1" si="34"/>
        <v>4.9189398957014505E-2</v>
      </c>
      <c r="D339" s="24">
        <f t="shared" ca="1" si="35"/>
        <v>5.8317670606268066E-2</v>
      </c>
      <c r="E339" s="24">
        <f t="shared" ca="1" si="36"/>
        <v>5.4171626513261448E-2</v>
      </c>
      <c r="F339" s="25">
        <f ca="1">'Single Simulation'!$AP$4*Results!C339</f>
        <v>93267.825507527727</v>
      </c>
      <c r="G339" s="25">
        <f ca="1">'Single Simulation'!$AP$5*Results!D339</f>
        <v>55159.69802618301</v>
      </c>
      <c r="H339" s="25">
        <f t="shared" ca="1" si="32"/>
        <v>38108.127481344716</v>
      </c>
      <c r="I339" s="25">
        <f t="shared" ca="1" si="33"/>
        <v>2064.3792490391606</v>
      </c>
      <c r="J339" s="25">
        <f ca="1">'Single Simulation'!$AP$7*Results!E339</f>
        <v>756887.81183285359</v>
      </c>
      <c r="K339" s="28" t="str">
        <f t="shared" ca="1" si="37"/>
        <v>No</v>
      </c>
    </row>
    <row r="340" spans="2:11" ht="11.25" hidden="1">
      <c r="B340" s="27">
        <v>338</v>
      </c>
      <c r="C340" s="29">
        <f t="shared" ca="1" si="34"/>
        <v>5.1786701562049314E-2</v>
      </c>
      <c r="D340" s="29">
        <f t="shared" ca="1" si="35"/>
        <v>5.7130982506231331E-2</v>
      </c>
      <c r="E340" s="29">
        <f t="shared" ca="1" si="36"/>
        <v>3.3773482488634085E-2</v>
      </c>
      <c r="F340" s="30">
        <f ca="1">'Single Simulation'!$AP$4*Results!C340</f>
        <v>98192.560740993911</v>
      </c>
      <c r="G340" s="30">
        <f ca="1">'Single Simulation'!$AP$5*Results!D340</f>
        <v>54037.270525756481</v>
      </c>
      <c r="H340" s="30">
        <f t="shared" ca="1" si="32"/>
        <v>44155.29021523743</v>
      </c>
      <c r="I340" s="30">
        <f t="shared" ca="1" si="33"/>
        <v>1491.2779208648774</v>
      </c>
      <c r="J340" s="25">
        <f ca="1">'Single Simulation'!$AP$7*Results!E340</f>
        <v>471884.24834428006</v>
      </c>
      <c r="K340" s="28" t="str">
        <f t="shared" ca="1" si="37"/>
        <v>No</v>
      </c>
    </row>
    <row r="341" spans="2:11" ht="11.25" hidden="1">
      <c r="B341" s="27">
        <v>339</v>
      </c>
      <c r="C341" s="24">
        <f t="shared" ca="1" si="34"/>
        <v>5.5738544842556255E-2</v>
      </c>
      <c r="D341" s="24">
        <f t="shared" ca="1" si="35"/>
        <v>4.72834852028442E-2</v>
      </c>
      <c r="E341" s="24">
        <f t="shared" ca="1" si="36"/>
        <v>6.4297244926524166E-2</v>
      </c>
      <c r="F341" s="25">
        <f ca="1">'Single Simulation'!$AP$4*Results!C341</f>
        <v>105685.63521099325</v>
      </c>
      <c r="G341" s="25">
        <f ca="1">'Single Simulation'!$AP$5*Results!D341</f>
        <v>44723.027142549341</v>
      </c>
      <c r="H341" s="25">
        <f t="shared" ca="1" si="32"/>
        <v>60962.608068443908</v>
      </c>
      <c r="I341" s="25">
        <f t="shared" ca="1" si="33"/>
        <v>3919.7277423364362</v>
      </c>
      <c r="J341" s="25">
        <f ca="1">'Single Simulation'!$AP$7*Results!E341</f>
        <v>898363.29738787375</v>
      </c>
      <c r="K341" s="28" t="str">
        <f t="shared" ca="1" si="37"/>
        <v>No</v>
      </c>
    </row>
    <row r="342" spans="2:11" ht="11.25" hidden="1">
      <c r="B342" s="27">
        <v>340</v>
      </c>
      <c r="C342" s="29">
        <f t="shared" ca="1" si="34"/>
        <v>0.02</v>
      </c>
      <c r="D342" s="29">
        <f t="shared" ca="1" si="35"/>
        <v>6.5812342599105692E-2</v>
      </c>
      <c r="E342" s="29">
        <f t="shared" ca="1" si="36"/>
        <v>1.7800890504080853E-2</v>
      </c>
      <c r="F342" s="30">
        <f ca="1">'Single Simulation'!$AP$4*Results!C342</f>
        <v>37921.921180225181</v>
      </c>
      <c r="G342" s="30">
        <f ca="1">'Single Simulation'!$AP$5*Results!D342</f>
        <v>62248.524442473055</v>
      </c>
      <c r="H342" s="30">
        <f t="shared" ca="1" si="32"/>
        <v>-24326.603262247874</v>
      </c>
      <c r="I342" s="30">
        <f t="shared" ca="1" si="33"/>
        <v>-433.03520100749051</v>
      </c>
      <c r="J342" s="25">
        <f ca="1">'Single Simulation'!$AP$7*Results!E342</f>
        <v>248714.64878411326</v>
      </c>
      <c r="K342" s="28" t="str">
        <f t="shared" ca="1" si="37"/>
        <v>No</v>
      </c>
    </row>
    <row r="343" spans="2:11" ht="11.25" hidden="1">
      <c r="B343" s="27">
        <v>341</v>
      </c>
      <c r="C343" s="24">
        <f t="shared" ca="1" si="34"/>
        <v>4.3009961098215206E-2</v>
      </c>
      <c r="D343" s="24">
        <f t="shared" ca="1" si="35"/>
        <v>3.6800639675104871E-2</v>
      </c>
      <c r="E343" s="24">
        <f t="shared" ca="1" si="36"/>
        <v>2.9393285641771308E-2</v>
      </c>
      <c r="F343" s="25">
        <f ca="1">'Single Simulation'!$AP$4*Results!C343</f>
        <v>81551.017736553404</v>
      </c>
      <c r="G343" s="25">
        <f ca="1">'Single Simulation'!$AP$5*Results!D343</f>
        <v>34807.840411770092</v>
      </c>
      <c r="H343" s="25">
        <f t="shared" ca="1" si="32"/>
        <v>46743.177324783312</v>
      </c>
      <c r="I343" s="25">
        <f t="shared" ca="1" si="33"/>
        <v>1373.9355629113236</v>
      </c>
      <c r="J343" s="25">
        <f ca="1">'Single Simulation'!$AP$7*Results!E343</f>
        <v>410683.98872114456</v>
      </c>
      <c r="K343" s="28" t="str">
        <f t="shared" ca="1" si="37"/>
        <v>No</v>
      </c>
    </row>
    <row r="344" spans="2:11" ht="11.25" hidden="1">
      <c r="B344" s="27">
        <v>342</v>
      </c>
      <c r="C344" s="29">
        <f t="shared" ca="1" si="34"/>
        <v>5.4078275767706172E-2</v>
      </c>
      <c r="D344" s="29">
        <f t="shared" ca="1" si="35"/>
        <v>6.6873914426433395E-2</v>
      </c>
      <c r="E344" s="29">
        <f t="shared" ca="1" si="36"/>
        <v>0.10897330660122434</v>
      </c>
      <c r="F344" s="30">
        <f ca="1">'Single Simulation'!$AP$4*Results!C344</f>
        <v>102537.60556127173</v>
      </c>
      <c r="G344" s="30">
        <f ca="1">'Single Simulation'!$AP$5*Results!D344</f>
        <v>63252.610868075346</v>
      </c>
      <c r="H344" s="30">
        <f t="shared" ca="1" si="32"/>
        <v>39284.994693196386</v>
      </c>
      <c r="I344" s="30">
        <f t="shared" ca="1" si="33"/>
        <v>4281.0157715291607</v>
      </c>
      <c r="J344" s="25">
        <f ca="1">'Single Simulation'!$AP$7*Results!E344</f>
        <v>1522578.7536839005</v>
      </c>
      <c r="K344" s="28" t="str">
        <f t="shared" ca="1" si="37"/>
        <v>No</v>
      </c>
    </row>
    <row r="345" spans="2:11" ht="11.25" hidden="1">
      <c r="B345" s="27">
        <v>343</v>
      </c>
      <c r="C345" s="24">
        <f t="shared" ca="1" si="34"/>
        <v>3.9667403490650649E-2</v>
      </c>
      <c r="D345" s="24">
        <f t="shared" ca="1" si="35"/>
        <v>4.5197155205421086E-2</v>
      </c>
      <c r="E345" s="24">
        <f t="shared" ca="1" si="36"/>
        <v>5.2449717824345161E-2</v>
      </c>
      <c r="F345" s="25">
        <f ca="1">'Single Simulation'!$AP$4*Results!C345</f>
        <v>75213.207429832153</v>
      </c>
      <c r="G345" s="25">
        <f ca="1">'Single Simulation'!$AP$5*Results!D345</f>
        <v>42749.674444397213</v>
      </c>
      <c r="H345" s="25">
        <f t="shared" ca="1" si="32"/>
        <v>32463.53298543494</v>
      </c>
      <c r="I345" s="25">
        <f t="shared" ca="1" si="33"/>
        <v>1702.7031446673841</v>
      </c>
      <c r="J345" s="25">
        <f ca="1">'Single Simulation'!$AP$7*Results!E345</f>
        <v>732829.2449480145</v>
      </c>
      <c r="K345" s="28" t="str">
        <f t="shared" ca="1" si="37"/>
        <v>No</v>
      </c>
    </row>
    <row r="346" spans="2:11" ht="11.25" hidden="1">
      <c r="B346" s="27">
        <v>344</v>
      </c>
      <c r="C346" s="29">
        <f t="shared" ca="1" si="34"/>
        <v>7.8428229441807357E-2</v>
      </c>
      <c r="D346" s="29">
        <f t="shared" ca="1" si="35"/>
        <v>2.4898978544303514E-2</v>
      </c>
      <c r="E346" s="29">
        <f t="shared" ca="1" si="36"/>
        <v>8.0286078765800975E-2</v>
      </c>
      <c r="F346" s="30">
        <f ca="1">'Single Simulation'!$AP$4*Results!C346</f>
        <v>148707.45675984171</v>
      </c>
      <c r="G346" s="30">
        <f ca="1">'Single Simulation'!$AP$5*Results!D346</f>
        <v>23550.668663308621</v>
      </c>
      <c r="H346" s="30">
        <f t="shared" ca="1" si="32"/>
        <v>125156.78809653308</v>
      </c>
      <c r="I346" s="30">
        <f t="shared" ca="1" si="33"/>
        <v>10048.347747192916</v>
      </c>
      <c r="J346" s="25">
        <f ca="1">'Single Simulation'!$AP$7*Results!E346</f>
        <v>1121759.8286957669</v>
      </c>
      <c r="K346" s="28" t="str">
        <f t="shared" ca="1" si="37"/>
        <v>No</v>
      </c>
    </row>
    <row r="347" spans="2:11" ht="11.25" hidden="1">
      <c r="B347" s="27">
        <v>345</v>
      </c>
      <c r="C347" s="24">
        <f t="shared" ca="1" si="34"/>
        <v>7.5161391371582953E-2</v>
      </c>
      <c r="D347" s="24">
        <f t="shared" ca="1" si="35"/>
        <v>3.7285759136589228E-2</v>
      </c>
      <c r="E347" s="24">
        <f t="shared" ca="1" si="36"/>
        <v>6.9382086356786665E-2</v>
      </c>
      <c r="F347" s="25">
        <f ca="1">'Single Simulation'!$AP$4*Results!C347</f>
        <v>142513.21796946129</v>
      </c>
      <c r="G347" s="25">
        <f ca="1">'Single Simulation'!$AP$5*Results!D347</f>
        <v>35266.690066152987</v>
      </c>
      <c r="H347" s="25">
        <f t="shared" ca="1" si="32"/>
        <v>107246.52790330831</v>
      </c>
      <c r="I347" s="25">
        <f t="shared" ca="1" si="33"/>
        <v>7440.9878604528676</v>
      </c>
      <c r="J347" s="25">
        <f ca="1">'Single Simulation'!$AP$7*Results!E347</f>
        <v>969408.87514482473</v>
      </c>
      <c r="K347" s="28" t="str">
        <f t="shared" ca="1" si="37"/>
        <v>No</v>
      </c>
    </row>
    <row r="348" spans="2:11" ht="11.25" hidden="1">
      <c r="B348" s="27">
        <v>346</v>
      </c>
      <c r="C348" s="29">
        <f t="shared" ca="1" si="34"/>
        <v>3.8312611526853863E-2</v>
      </c>
      <c r="D348" s="29">
        <f t="shared" ca="1" si="35"/>
        <v>7.4312015485109711E-2</v>
      </c>
      <c r="E348" s="29">
        <f t="shared" ca="1" si="36"/>
        <v>7.619631465334159E-2</v>
      </c>
      <c r="F348" s="30">
        <f ca="1">'Single Simulation'!$AP$4*Results!C348</f>
        <v>72644.391726496935</v>
      </c>
      <c r="G348" s="30">
        <f ca="1">'Single Simulation'!$AP$5*Results!D348</f>
        <v>70287.929734887555</v>
      </c>
      <c r="H348" s="30">
        <f t="shared" ca="1" si="32"/>
        <v>2356.4619916093798</v>
      </c>
      <c r="I348" s="30">
        <f t="shared" ca="1" si="33"/>
        <v>179.5537193813083</v>
      </c>
      <c r="J348" s="25">
        <f ca="1">'Single Simulation'!$AP$7*Results!E348</f>
        <v>1064617.5051357732</v>
      </c>
      <c r="K348" s="28" t="str">
        <f t="shared" ca="1" si="37"/>
        <v>No</v>
      </c>
    </row>
    <row r="349" spans="2:11" ht="11.25" hidden="1">
      <c r="B349" s="27">
        <v>347</v>
      </c>
      <c r="C349" s="24">
        <f t="shared" ca="1" si="34"/>
        <v>3.9201983866794715E-2</v>
      </c>
      <c r="D349" s="24">
        <f t="shared" ca="1" si="35"/>
        <v>6.4151238700184576E-2</v>
      </c>
      <c r="E349" s="24">
        <f t="shared" ca="1" si="36"/>
        <v>5.0889266461799441E-2</v>
      </c>
      <c r="F349" s="25">
        <f ca="1">'Single Simulation'!$AP$4*Results!C349</f>
        <v>74330.727115252404</v>
      </c>
      <c r="G349" s="25">
        <f ca="1">'Single Simulation'!$AP$5*Results!D349</f>
        <v>60677.371333954419</v>
      </c>
      <c r="H349" s="25">
        <f t="shared" ca="1" si="32"/>
        <v>13653.355781297985</v>
      </c>
      <c r="I349" s="25">
        <f t="shared" ca="1" si="33"/>
        <v>694.80926045222304</v>
      </c>
      <c r="J349" s="25">
        <f ca="1">'Single Simulation'!$AP$7*Results!E349</f>
        <v>711026.5653297517</v>
      </c>
      <c r="K349" s="28" t="str">
        <f t="shared" ca="1" si="37"/>
        <v>No</v>
      </c>
    </row>
    <row r="350" spans="2:11" ht="11.25" hidden="1">
      <c r="B350" s="27">
        <v>348</v>
      </c>
      <c r="C350" s="29">
        <f t="shared" ca="1" si="34"/>
        <v>5.6412670696018206E-2</v>
      </c>
      <c r="D350" s="29">
        <f t="shared" ca="1" si="35"/>
        <v>5.7528658932242696E-2</v>
      </c>
      <c r="E350" s="29">
        <f t="shared" ca="1" si="36"/>
        <v>9.270495927052784E-2</v>
      </c>
      <c r="F350" s="30">
        <f ca="1">'Single Simulation'!$AP$4*Results!C350</f>
        <v>106963.84258502006</v>
      </c>
      <c r="G350" s="30">
        <f ca="1">'Single Simulation'!$AP$5*Results!D350</f>
        <v>54413.412291071792</v>
      </c>
      <c r="H350" s="30">
        <f t="shared" ca="1" si="32"/>
        <v>52550.430293948266</v>
      </c>
      <c r="I350" s="30">
        <f t="shared" ca="1" si="33"/>
        <v>4871.685500049186</v>
      </c>
      <c r="J350" s="25">
        <f ca="1">'Single Simulation'!$AP$7*Results!E350</f>
        <v>1295276.8503479655</v>
      </c>
      <c r="K350" s="28" t="str">
        <f t="shared" ca="1" si="37"/>
        <v>No</v>
      </c>
    </row>
    <row r="351" spans="2:11" ht="11.25" hidden="1">
      <c r="B351" s="27">
        <v>349</v>
      </c>
      <c r="C351" s="24">
        <f t="shared" ca="1" si="34"/>
        <v>5.7607916182101995E-2</v>
      </c>
      <c r="D351" s="24">
        <f t="shared" ca="1" si="35"/>
        <v>4.8863300182552659E-2</v>
      </c>
      <c r="E351" s="24">
        <f t="shared" ca="1" si="36"/>
        <v>8.4539738569403555E-2</v>
      </c>
      <c r="F351" s="25">
        <f ca="1">'Single Simulation'!$AP$4*Results!C351</f>
        <v>109230.14284073452</v>
      </c>
      <c r="G351" s="25">
        <f ca="1">'Single Simulation'!$AP$5*Results!D351</f>
        <v>46217.293225402675</v>
      </c>
      <c r="H351" s="25">
        <f t="shared" ca="1" si="32"/>
        <v>63012.849615331848</v>
      </c>
      <c r="I351" s="25">
        <f t="shared" ca="1" si="33"/>
        <v>5327.0898329932961</v>
      </c>
      <c r="J351" s="25">
        <f ca="1">'Single Simulation'!$AP$7*Results!E351</f>
        <v>1181192.1084380406</v>
      </c>
      <c r="K351" s="28" t="str">
        <f t="shared" ca="1" si="37"/>
        <v>No</v>
      </c>
    </row>
    <row r="352" spans="2:11" ht="11.25" hidden="1">
      <c r="B352" s="27">
        <v>350</v>
      </c>
      <c r="C352" s="29">
        <f t="shared" ca="1" si="34"/>
        <v>6.998055175900493E-2</v>
      </c>
      <c r="D352" s="29">
        <f t="shared" ca="1" si="35"/>
        <v>6.7937798625566648E-2</v>
      </c>
      <c r="E352" s="29">
        <f t="shared" ca="1" si="36"/>
        <v>8.604637223139501E-2</v>
      </c>
      <c r="F352" s="30">
        <f ca="1">'Single Simulation'!$AP$4*Results!C352</f>
        <v>132689.84839768268</v>
      </c>
      <c r="G352" s="30">
        <f ca="1">'Single Simulation'!$AP$5*Results!D352</f>
        <v>64258.884447745906</v>
      </c>
      <c r="H352" s="30">
        <f t="shared" ca="1" si="32"/>
        <v>68430.963949936777</v>
      </c>
      <c r="I352" s="30">
        <f t="shared" ca="1" si="33"/>
        <v>5888.236196189433</v>
      </c>
      <c r="J352" s="25">
        <f ca="1">'Single Simulation'!$AP$7*Results!E352</f>
        <v>1202242.8453100314</v>
      </c>
      <c r="K352" s="28" t="str">
        <f t="shared" ca="1" si="37"/>
        <v>No</v>
      </c>
    </row>
    <row r="353" spans="2:11" ht="11.25" hidden="1">
      <c r="B353" s="27">
        <v>351</v>
      </c>
      <c r="C353" s="24">
        <f t="shared" ca="1" si="34"/>
        <v>7.3928312651291128E-2</v>
      </c>
      <c r="D353" s="24">
        <f t="shared" ca="1" si="35"/>
        <v>6.0846496968050764E-2</v>
      </c>
      <c r="E353" s="24">
        <f t="shared" ca="1" si="36"/>
        <v>-4.383632939610782E-2</v>
      </c>
      <c r="F353" s="25">
        <f ca="1">'Single Simulation'!$AP$4*Results!C353</f>
        <v>140175.18226746531</v>
      </c>
      <c r="G353" s="25">
        <f ca="1">'Single Simulation'!$AP$5*Results!D353</f>
        <v>57551.58537398788</v>
      </c>
      <c r="H353" s="25">
        <f t="shared" ca="1" si="32"/>
        <v>82623.596893477428</v>
      </c>
      <c r="I353" s="25">
        <f t="shared" ca="1" si="33"/>
        <v>-3621.9152093137072</v>
      </c>
      <c r="J353" s="25">
        <f ca="1">'Single Simulation'!$AP$7*Results!E353</f>
        <v>-612482.68828113994</v>
      </c>
      <c r="K353" s="28" t="str">
        <f t="shared" ca="1" si="37"/>
        <v>No</v>
      </c>
    </row>
    <row r="354" spans="2:11" ht="11.25" hidden="1">
      <c r="B354" s="27">
        <v>352</v>
      </c>
      <c r="C354" s="29">
        <f t="shared" ca="1" si="34"/>
        <v>6.4805528553019992E-2</v>
      </c>
      <c r="D354" s="29">
        <f t="shared" ca="1" si="35"/>
        <v>3.2431134700766973E-2</v>
      </c>
      <c r="E354" s="29">
        <f t="shared" ca="1" si="36"/>
        <v>4.0599819895084627E-2</v>
      </c>
      <c r="F354" s="30">
        <f ca="1">'Single Simulation'!$AP$4*Results!C354</f>
        <v>122877.50729152282</v>
      </c>
      <c r="G354" s="30">
        <f ca="1">'Single Simulation'!$AP$5*Results!D354</f>
        <v>30674.949430310386</v>
      </c>
      <c r="H354" s="30">
        <f t="shared" ca="1" si="32"/>
        <v>92202.557861212437</v>
      </c>
      <c r="I354" s="30">
        <f t="shared" ca="1" si="33"/>
        <v>3743.407243031344</v>
      </c>
      <c r="J354" s="25">
        <f ca="1">'Single Simulation'!$AP$7*Results!E354</f>
        <v>567262.06723137328</v>
      </c>
      <c r="K354" s="28" t="str">
        <f t="shared" ca="1" si="37"/>
        <v>No</v>
      </c>
    </row>
    <row r="355" spans="2:11" ht="11.25" hidden="1">
      <c r="B355" s="27">
        <v>353</v>
      </c>
      <c r="C355" s="24">
        <f t="shared" ca="1" si="34"/>
        <v>6.4208218647957727E-2</v>
      </c>
      <c r="D355" s="24">
        <f t="shared" ca="1" si="35"/>
        <v>6.0236355559469636E-2</v>
      </c>
      <c r="E355" s="24">
        <f t="shared" ca="1" si="36"/>
        <v>6.9807103922916031E-3</v>
      </c>
      <c r="F355" s="25">
        <f ca="1">'Single Simulation'!$AP$4*Results!C355</f>
        <v>121744.95033452587</v>
      </c>
      <c r="G355" s="25">
        <f ca="1">'Single Simulation'!$AP$5*Results!D355</f>
        <v>56974.483862546724</v>
      </c>
      <c r="H355" s="25">
        <f t="shared" ca="1" si="32"/>
        <v>64770.466471979147</v>
      </c>
      <c r="I355" s="25">
        <f t="shared" ca="1" si="33"/>
        <v>452.14386841451966</v>
      </c>
      <c r="J355" s="25">
        <f ca="1">'Single Simulation'!$AP$7*Results!E355</f>
        <v>97534.723506354392</v>
      </c>
      <c r="K355" s="28" t="str">
        <f t="shared" ca="1" si="37"/>
        <v>No</v>
      </c>
    </row>
    <row r="356" spans="2:11" ht="11.25" hidden="1">
      <c r="B356" s="27">
        <v>354</v>
      </c>
      <c r="C356" s="29">
        <f t="shared" ca="1" si="34"/>
        <v>5.9091028460765915E-2</v>
      </c>
      <c r="D356" s="29">
        <f t="shared" ca="1" si="35"/>
        <v>3.285963659816897E-2</v>
      </c>
      <c r="E356" s="29">
        <f t="shared" ca="1" si="36"/>
        <v>9.6693760087636291E-2</v>
      </c>
      <c r="F356" s="30">
        <f ca="1">'Single Simulation'!$AP$4*Results!C356</f>
        <v>112042.26618738039</v>
      </c>
      <c r="G356" s="30">
        <f ca="1">'Single Simulation'!$AP$5*Results!D356</f>
        <v>31080.247430361167</v>
      </c>
      <c r="H356" s="30">
        <f t="shared" ca="1" si="32"/>
        <v>80962.018757019221</v>
      </c>
      <c r="I356" s="30">
        <f t="shared" ca="1" si="33"/>
        <v>7828.5220179019261</v>
      </c>
      <c r="J356" s="25">
        <f ca="1">'Single Simulation'!$AP$7*Results!E356</f>
        <v>1351008.5113044486</v>
      </c>
      <c r="K356" s="28" t="str">
        <f t="shared" ca="1" si="37"/>
        <v>No</v>
      </c>
    </row>
    <row r="357" spans="2:11" ht="11.25" hidden="1">
      <c r="B357" s="27">
        <v>355</v>
      </c>
      <c r="C357" s="24">
        <f t="shared" ca="1" si="34"/>
        <v>6.8815991484253991E-2</v>
      </c>
      <c r="D357" s="24">
        <f t="shared" ca="1" si="35"/>
        <v>5.183015251153842E-2</v>
      </c>
      <c r="E357" s="24">
        <f t="shared" ca="1" si="36"/>
        <v>8.9578724931474146E-2</v>
      </c>
      <c r="F357" s="25">
        <f ca="1">'Single Simulation'!$AP$4*Results!C357</f>
        <v>130481.73025024634</v>
      </c>
      <c r="G357" s="25">
        <f ca="1">'Single Simulation'!$AP$5*Results!D357</f>
        <v>49023.486903130659</v>
      </c>
      <c r="H357" s="25">
        <f t="shared" ca="1" si="32"/>
        <v>81458.243347115684</v>
      </c>
      <c r="I357" s="25">
        <f t="shared" ca="1" si="33"/>
        <v>7296.9255741923598</v>
      </c>
      <c r="J357" s="25">
        <f ca="1">'Single Simulation'!$AP$7*Results!E357</f>
        <v>1251596.9976194561</v>
      </c>
      <c r="K357" s="28" t="str">
        <f t="shared" ca="1" si="37"/>
        <v>No</v>
      </c>
    </row>
    <row r="358" spans="2:11" ht="11.25" hidden="1">
      <c r="B358" s="27">
        <v>356</v>
      </c>
      <c r="C358" s="29">
        <f t="shared" ca="1" si="34"/>
        <v>9.3557181291562153E-2</v>
      </c>
      <c r="D358" s="29">
        <f t="shared" ca="1" si="35"/>
        <v>6.4998745561853158E-2</v>
      </c>
      <c r="E358" s="29">
        <f t="shared" ca="1" si="36"/>
        <v>0.15149718405828805</v>
      </c>
      <c r="F358" s="30">
        <f ca="1">'Single Simulation'!$AP$4*Results!C358</f>
        <v>177393.40273913287</v>
      </c>
      <c r="G358" s="30">
        <f ca="1">'Single Simulation'!$AP$5*Results!D358</f>
        <v>61478.984671365957</v>
      </c>
      <c r="H358" s="30">
        <f t="shared" ca="1" si="32"/>
        <v>115914.41806776691</v>
      </c>
      <c r="I358" s="30">
        <f t="shared" ca="1" si="33"/>
        <v>17560.707929021832</v>
      </c>
      <c r="J358" s="25">
        <f ca="1">'Single Simulation'!$AP$7*Results!E358</f>
        <v>2116723.8187438562</v>
      </c>
      <c r="K358" s="28" t="str">
        <f t="shared" ca="1" si="37"/>
        <v>No</v>
      </c>
    </row>
    <row r="359" spans="2:11" ht="11.25" hidden="1">
      <c r="B359" s="27">
        <v>357</v>
      </c>
      <c r="C359" s="24">
        <f t="shared" ca="1" si="34"/>
        <v>4.0811112772430047E-2</v>
      </c>
      <c r="D359" s="24">
        <f t="shared" ca="1" si="35"/>
        <v>6.149662830713068E-2</v>
      </c>
      <c r="E359" s="24">
        <f t="shared" ca="1" si="36"/>
        <v>0.10566713611098519</v>
      </c>
      <c r="F359" s="25">
        <f ca="1">'Single Simulation'!$AP$4*Results!C359</f>
        <v>77381.790091668663</v>
      </c>
      <c r="G359" s="25">
        <f ca="1">'Single Simulation'!$AP$5*Results!D359</f>
        <v>58166.511312699018</v>
      </c>
      <c r="H359" s="25">
        <f t="shared" ca="1" si="32"/>
        <v>19215.278778969645</v>
      </c>
      <c r="I359" s="25">
        <f t="shared" ca="1" si="33"/>
        <v>2030.4234781479108</v>
      </c>
      <c r="J359" s="25">
        <f ca="1">'Single Simulation'!$AP$7*Results!E359</f>
        <v>1476384.8269187354</v>
      </c>
      <c r="K359" s="28" t="str">
        <f t="shared" ca="1" si="37"/>
        <v>No</v>
      </c>
    </row>
    <row r="360" spans="2:11" ht="11.25" hidden="1">
      <c r="B360" s="27">
        <v>358</v>
      </c>
      <c r="C360" s="29">
        <f t="shared" ca="1" si="34"/>
        <v>7.3760915276717021E-2</v>
      </c>
      <c r="D360" s="29">
        <f t="shared" ca="1" si="35"/>
        <v>7.5806637938585761E-2</v>
      </c>
      <c r="E360" s="29">
        <f t="shared" ca="1" si="36"/>
        <v>5.7198159773331703E-2</v>
      </c>
      <c r="F360" s="30">
        <f ca="1">'Single Simulation'!$AP$4*Results!C360</f>
        <v>139857.78076524651</v>
      </c>
      <c r="G360" s="30">
        <f ca="1">'Single Simulation'!$AP$5*Results!D360</f>
        <v>71701.616570109516</v>
      </c>
      <c r="H360" s="30">
        <f t="shared" ca="1" si="32"/>
        <v>68156.164195136997</v>
      </c>
      <c r="I360" s="30">
        <f t="shared" ca="1" si="33"/>
        <v>3898.4071691708755</v>
      </c>
      <c r="J360" s="25">
        <f ca="1">'Single Simulation'!$AP$7*Results!E360</f>
        <v>799174.63768795587</v>
      </c>
      <c r="K360" s="28" t="str">
        <f t="shared" ca="1" si="37"/>
        <v>No</v>
      </c>
    </row>
    <row r="361" spans="2:11" ht="11.25" hidden="1">
      <c r="B361" s="27">
        <v>359</v>
      </c>
      <c r="C361" s="24">
        <f t="shared" ca="1" si="34"/>
        <v>0.10225859669196735</v>
      </c>
      <c r="D361" s="24">
        <f t="shared" ca="1" si="35"/>
        <v>4.8048584695853346E-2</v>
      </c>
      <c r="E361" s="24">
        <f t="shared" ca="1" si="36"/>
        <v>6.5742487549117296E-2</v>
      </c>
      <c r="F361" s="25">
        <f ca="1">'Single Simulation'!$AP$4*Results!C361</f>
        <v>193892.12218766104</v>
      </c>
      <c r="G361" s="25">
        <f ca="1">'Single Simulation'!$AP$5*Results!D361</f>
        <v>45446.695570242584</v>
      </c>
      <c r="H361" s="25">
        <f t="shared" ca="1" si="32"/>
        <v>148445.42661741844</v>
      </c>
      <c r="I361" s="25">
        <f t="shared" ca="1" si="33"/>
        <v>9759.1716111190381</v>
      </c>
      <c r="J361" s="25">
        <f ca="1">'Single Simulation'!$AP$7*Results!E361</f>
        <v>918556.27656516142</v>
      </c>
      <c r="K361" s="28" t="str">
        <f t="shared" ca="1" si="37"/>
        <v>No</v>
      </c>
    </row>
    <row r="362" spans="2:11" ht="11.25" hidden="1">
      <c r="B362" s="27">
        <v>360</v>
      </c>
      <c r="C362" s="29">
        <f t="shared" ca="1" si="34"/>
        <v>7.5902941167991608E-2</v>
      </c>
      <c r="D362" s="29">
        <f t="shared" ca="1" si="35"/>
        <v>4.1362455154957734E-2</v>
      </c>
      <c r="E362" s="29">
        <f t="shared" ca="1" si="36"/>
        <v>5.5408953774506872E-2</v>
      </c>
      <c r="F362" s="30">
        <f ca="1">'Single Simulation'!$AP$4*Results!C362</f>
        <v>143919.26761599231</v>
      </c>
      <c r="G362" s="30">
        <f ca="1">'Single Simulation'!$AP$5*Results!D362</f>
        <v>39122.628051672938</v>
      </c>
      <c r="H362" s="30">
        <f t="shared" ca="1" si="32"/>
        <v>104796.63956431937</v>
      </c>
      <c r="I362" s="30">
        <f t="shared" ca="1" si="33"/>
        <v>5806.6721573430295</v>
      </c>
      <c r="J362" s="25">
        <f ca="1">'Single Simulation'!$AP$7*Results!E362</f>
        <v>774175.79049555666</v>
      </c>
      <c r="K362" s="28" t="str">
        <f t="shared" ca="1" si="37"/>
        <v>No</v>
      </c>
    </row>
    <row r="363" spans="2:11" ht="11.25" hidden="1">
      <c r="B363" s="27">
        <v>361</v>
      </c>
      <c r="C363" s="24">
        <f t="shared" ca="1" si="34"/>
        <v>7.8000683042159041E-2</v>
      </c>
      <c r="D363" s="24">
        <f t="shared" ca="1" si="35"/>
        <v>4.5571660438502255E-2</v>
      </c>
      <c r="E363" s="24">
        <f t="shared" ca="1" si="36"/>
        <v>-6.7319573124281634E-3</v>
      </c>
      <c r="F363" s="25">
        <f ca="1">'Single Simulation'!$AP$4*Results!C363</f>
        <v>147896.78771642409</v>
      </c>
      <c r="G363" s="25">
        <f ca="1">'Single Simulation'!$AP$5*Results!D363</f>
        <v>43103.899764977192</v>
      </c>
      <c r="H363" s="25">
        <f t="shared" ca="1" si="32"/>
        <v>104792.8879514469</v>
      </c>
      <c r="I363" s="25">
        <f t="shared" ca="1" si="33"/>
        <v>-705.4612483352081</v>
      </c>
      <c r="J363" s="25">
        <f ca="1">'Single Simulation'!$AP$7*Results!E363</f>
        <v>-94059.136996903166</v>
      </c>
      <c r="K363" s="28" t="str">
        <f t="shared" ca="1" si="37"/>
        <v>No</v>
      </c>
    </row>
    <row r="364" spans="2:11" ht="11.25" hidden="1">
      <c r="B364" s="27">
        <v>362</v>
      </c>
      <c r="C364" s="29">
        <f t="shared" ca="1" si="34"/>
        <v>6.6240345655298641E-2</v>
      </c>
      <c r="D364" s="29">
        <f t="shared" ca="1" si="35"/>
        <v>3.5338956111561737E-2</v>
      </c>
      <c r="E364" s="29">
        <f t="shared" ca="1" si="36"/>
        <v>1.6324355984378425E-3</v>
      </c>
      <c r="F364" s="30">
        <f ca="1">'Single Simulation'!$AP$4*Results!C364</f>
        <v>125598.05834455532</v>
      </c>
      <c r="G364" s="30">
        <f ca="1">'Single Simulation'!$AP$5*Results!D364</f>
        <v>33425.30878564906</v>
      </c>
      <c r="H364" s="30">
        <f t="shared" ca="1" si="32"/>
        <v>92172.74955890626</v>
      </c>
      <c r="I364" s="30">
        <f t="shared" ca="1" si="33"/>
        <v>150.46607758585452</v>
      </c>
      <c r="J364" s="25">
        <f ca="1">'Single Simulation'!$AP$7*Results!E364</f>
        <v>22808.445815397485</v>
      </c>
      <c r="K364" s="28" t="str">
        <f t="shared" ca="1" si="37"/>
        <v>No</v>
      </c>
    </row>
    <row r="365" spans="2:11" ht="11.25" hidden="1">
      <c r="B365" s="27">
        <v>363</v>
      </c>
      <c r="C365" s="24">
        <f t="shared" ca="1" si="34"/>
        <v>6.5046014348125722E-2</v>
      </c>
      <c r="D365" s="24">
        <f t="shared" ca="1" si="35"/>
        <v>4.2410991431947001E-2</v>
      </c>
      <c r="E365" s="24">
        <f t="shared" ca="1" si="36"/>
        <v>0.1335543388151027</v>
      </c>
      <c r="F365" s="25">
        <f ca="1">'Single Simulation'!$AP$4*Results!C365</f>
        <v>123333.49145987099</v>
      </c>
      <c r="G365" s="25">
        <f ca="1">'Single Simulation'!$AP$5*Results!D365</f>
        <v>40114.384817794693</v>
      </c>
      <c r="H365" s="25">
        <f t="shared" ca="1" si="32"/>
        <v>83219.106642076295</v>
      </c>
      <c r="I365" s="25">
        <f t="shared" ca="1" si="33"/>
        <v>11114.272764366022</v>
      </c>
      <c r="J365" s="25">
        <f ca="1">'Single Simulation'!$AP$7*Results!E365</f>
        <v>1866025.7735071038</v>
      </c>
      <c r="K365" s="28" t="str">
        <f t="shared" ca="1" si="37"/>
        <v>No</v>
      </c>
    </row>
    <row r="366" spans="2:11" ht="11.25" hidden="1">
      <c r="B366" s="27">
        <v>364</v>
      </c>
      <c r="C366" s="29">
        <f t="shared" ca="1" si="34"/>
        <v>2.6851374268763564E-2</v>
      </c>
      <c r="D366" s="29">
        <f t="shared" ca="1" si="35"/>
        <v>3.1718464030958737E-2</v>
      </c>
      <c r="E366" s="29">
        <f t="shared" ca="1" si="36"/>
        <v>4.0675374881995775E-2</v>
      </c>
      <c r="F366" s="30">
        <f ca="1">'Single Simulation'!$AP$4*Results!C366</f>
        <v>50912.784930038921</v>
      </c>
      <c r="G366" s="30">
        <f ca="1">'Single Simulation'!$AP$5*Results!D366</f>
        <v>30000.870741465864</v>
      </c>
      <c r="H366" s="30">
        <f t="shared" ca="1" si="32"/>
        <v>20911.914188573057</v>
      </c>
      <c r="I366" s="30">
        <f t="shared" ca="1" si="33"/>
        <v>850.59994912033562</v>
      </c>
      <c r="J366" s="25">
        <f ca="1">'Single Simulation'!$AP$7*Results!E366</f>
        <v>568317.7240834384</v>
      </c>
      <c r="K366" s="28" t="str">
        <f t="shared" ca="1" si="37"/>
        <v>No</v>
      </c>
    </row>
    <row r="367" spans="2:11" ht="11.25" hidden="1">
      <c r="B367" s="27">
        <v>365</v>
      </c>
      <c r="C367" s="24">
        <f t="shared" ca="1" si="34"/>
        <v>8.6605202879956517E-2</v>
      </c>
      <c r="D367" s="24">
        <f t="shared" ca="1" si="35"/>
        <v>5.5770974967222449E-2</v>
      </c>
      <c r="E367" s="24">
        <f t="shared" ca="1" si="36"/>
        <v>8.5933587661341335E-2</v>
      </c>
      <c r="F367" s="25">
        <f ca="1">'Single Simulation'!$AP$4*Results!C367</f>
        <v>164211.78387055607</v>
      </c>
      <c r="G367" s="25">
        <f ca="1">'Single Simulation'!$AP$5*Results!D367</f>
        <v>52750.90904414752</v>
      </c>
      <c r="H367" s="25">
        <f t="shared" ca="1" si="32"/>
        <v>111460.87482640854</v>
      </c>
      <c r="I367" s="25">
        <f t="shared" ca="1" si="33"/>
        <v>9578.232857704972</v>
      </c>
      <c r="J367" s="25">
        <f ca="1">'Single Simulation'!$AP$7*Results!E367</f>
        <v>1200667.0154535007</v>
      </c>
      <c r="K367" s="28" t="str">
        <f t="shared" ca="1" si="37"/>
        <v>No</v>
      </c>
    </row>
    <row r="368" spans="2:11" ht="11.25" hidden="1">
      <c r="B368" s="27">
        <v>366</v>
      </c>
      <c r="C368" s="29">
        <f t="shared" ca="1" si="34"/>
        <v>5.8273501253441357E-2</v>
      </c>
      <c r="D368" s="29">
        <f t="shared" ca="1" si="35"/>
        <v>5.2361420904814625E-2</v>
      </c>
      <c r="E368" s="29">
        <f t="shared" ca="1" si="36"/>
        <v>7.767985272070399E-2</v>
      </c>
      <c r="F368" s="30">
        <f ca="1">'Single Simulation'!$AP$4*Results!C368</f>
        <v>110492.15607143781</v>
      </c>
      <c r="G368" s="30">
        <f ca="1">'Single Simulation'!$AP$5*Results!D368</f>
        <v>49525.986468688083</v>
      </c>
      <c r="H368" s="30">
        <f t="shared" ca="1" si="32"/>
        <v>60966.169602749731</v>
      </c>
      <c r="I368" s="30">
        <f t="shared" ca="1" si="33"/>
        <v>4735.8430756870594</v>
      </c>
      <c r="J368" s="25">
        <f ca="1">'Single Simulation'!$AP$7*Results!E368</f>
        <v>1085345.5495725004</v>
      </c>
      <c r="K368" s="28" t="str">
        <f t="shared" ca="1" si="37"/>
        <v>No</v>
      </c>
    </row>
    <row r="369" spans="2:11" ht="11.25" hidden="1">
      <c r="B369" s="27">
        <v>367</v>
      </c>
      <c r="C369" s="24">
        <f t="shared" ca="1" si="34"/>
        <v>2.3815961860030904E-2</v>
      </c>
      <c r="D369" s="24">
        <f t="shared" ca="1" si="35"/>
        <v>4.1062418974892934E-2</v>
      </c>
      <c r="E369" s="24">
        <f t="shared" ca="1" si="36"/>
        <v>6.2907807656502918E-2</v>
      </c>
      <c r="F369" s="25">
        <f ca="1">'Single Simulation'!$AP$4*Results!C369</f>
        <v>45157.351424367051</v>
      </c>
      <c r="G369" s="25">
        <f ca="1">'Single Simulation'!$AP$5*Results!D369</f>
        <v>38838.83919458637</v>
      </c>
      <c r="H369" s="25">
        <f t="shared" ca="1" si="32"/>
        <v>6318.5122297806811</v>
      </c>
      <c r="I369" s="25">
        <f t="shared" ca="1" si="33"/>
        <v>397.48375202630444</v>
      </c>
      <c r="J369" s="25">
        <f ca="1">'Single Simulation'!$AP$7*Results!E369</f>
        <v>878950.03249858809</v>
      </c>
      <c r="K369" s="28" t="str">
        <f t="shared" ca="1" si="37"/>
        <v>No</v>
      </c>
    </row>
    <row r="370" spans="2:11" ht="11.25" hidden="1">
      <c r="B370" s="27">
        <v>368</v>
      </c>
      <c r="C370" s="29">
        <f t="shared" ca="1" si="34"/>
        <v>3.6071016943285523E-2</v>
      </c>
      <c r="D370" s="29">
        <f t="shared" ca="1" si="35"/>
        <v>2.2360246289522826E-2</v>
      </c>
      <c r="E370" s="29">
        <f t="shared" ca="1" si="36"/>
        <v>6.869003263726936E-2</v>
      </c>
      <c r="F370" s="30">
        <f ca="1">'Single Simulation'!$AP$4*Results!C370</f>
        <v>68394.113070692023</v>
      </c>
      <c r="G370" s="30">
        <f ca="1">'Single Simulation'!$AP$5*Results!D370</f>
        <v>21149.411838623615</v>
      </c>
      <c r="H370" s="30">
        <f t="shared" ca="1" si="32"/>
        <v>47244.701232068408</v>
      </c>
      <c r="I370" s="30">
        <f t="shared" ca="1" si="33"/>
        <v>3245.2400695688189</v>
      </c>
      <c r="J370" s="25">
        <f ca="1">'Single Simulation'!$AP$7*Results!E370</f>
        <v>959739.4769902759</v>
      </c>
      <c r="K370" s="28" t="str">
        <f t="shared" ca="1" si="37"/>
        <v>No</v>
      </c>
    </row>
    <row r="371" spans="2:11" ht="11.25" hidden="1">
      <c r="B371" s="27">
        <v>369</v>
      </c>
      <c r="C371" s="24">
        <f t="shared" ca="1" si="34"/>
        <v>7.8644884210808244E-2</v>
      </c>
      <c r="D371" s="24">
        <f t="shared" ca="1" si="35"/>
        <v>6.19601493771096E-2</v>
      </c>
      <c r="E371" s="24">
        <f t="shared" ca="1" si="36"/>
        <v>0.14695182244575333</v>
      </c>
      <c r="F371" s="25">
        <f ca="1">'Single Simulation'!$AP$4*Results!C371</f>
        <v>149118.25501351029</v>
      </c>
      <c r="G371" s="25">
        <f ca="1">'Single Simulation'!$AP$5*Results!D371</f>
        <v>58604.932154666982</v>
      </c>
      <c r="H371" s="25">
        <f t="shared" ref="H371:H434" ca="1" si="38">F371-G371</f>
        <v>90513.322858843312</v>
      </c>
      <c r="I371" s="25">
        <f t="shared" ref="I371:I434" ca="1" si="39">H371*E371</f>
        <v>13301.097749727889</v>
      </c>
      <c r="J371" s="25">
        <f ca="1">'Single Simulation'!$AP$7*Results!E371</f>
        <v>2053215.8713858747</v>
      </c>
      <c r="K371" s="28" t="str">
        <f t="shared" ca="1" si="37"/>
        <v>No</v>
      </c>
    </row>
    <row r="372" spans="2:11" ht="11.25" hidden="1">
      <c r="B372" s="27">
        <v>370</v>
      </c>
      <c r="C372" s="29">
        <f t="shared" ca="1" si="34"/>
        <v>5.0694466967360102E-2</v>
      </c>
      <c r="D372" s="29">
        <f t="shared" ca="1" si="35"/>
        <v>2.3426433326971485E-2</v>
      </c>
      <c r="E372" s="29">
        <f t="shared" ca="1" si="36"/>
        <v>9.8511169965261464E-3</v>
      </c>
      <c r="F372" s="30">
        <f ca="1">'Single Simulation'!$AP$4*Results!C372</f>
        <v>96121.579030487934</v>
      </c>
      <c r="G372" s="30">
        <f ca="1">'Single Simulation'!$AP$5*Results!D372</f>
        <v>22157.863555122345</v>
      </c>
      <c r="H372" s="30">
        <f t="shared" ca="1" si="38"/>
        <v>73963.715475365592</v>
      </c>
      <c r="I372" s="30">
        <f t="shared" ca="1" si="39"/>
        <v>728.62521464559791</v>
      </c>
      <c r="J372" s="25">
        <f ca="1">'Single Simulation'!$AP$7*Results!E372</f>
        <v>137640.14240526449</v>
      </c>
      <c r="K372" s="28" t="str">
        <f t="shared" ca="1" si="37"/>
        <v>No</v>
      </c>
    </row>
    <row r="373" spans="2:11" ht="11.25" hidden="1">
      <c r="B373" s="27">
        <v>371</v>
      </c>
      <c r="C373" s="24">
        <f t="shared" ca="1" si="34"/>
        <v>7.7351734783673645E-2</v>
      </c>
      <c r="D373" s="24">
        <f t="shared" ca="1" si="35"/>
        <v>4.1253906598346074E-2</v>
      </c>
      <c r="E373" s="24">
        <f t="shared" ca="1" si="36"/>
        <v>2.2850103729893878E-2</v>
      </c>
      <c r="F373" s="25">
        <f ca="1">'Single Simulation'!$AP$4*Results!C373</f>
        <v>146666.3194810077</v>
      </c>
      <c r="G373" s="25">
        <f ca="1">'Single Simulation'!$AP$5*Results!D373</f>
        <v>39019.957531029169</v>
      </c>
      <c r="H373" s="25">
        <f t="shared" ca="1" si="38"/>
        <v>107646.36194997853</v>
      </c>
      <c r="I373" s="25">
        <f t="shared" ca="1" si="39"/>
        <v>2459.7305367027107</v>
      </c>
      <c r="J373" s="25">
        <f ca="1">'Single Simulation'!$AP$7*Results!E373</f>
        <v>319262.42805427342</v>
      </c>
      <c r="K373" s="28" t="str">
        <f t="shared" ca="1" si="37"/>
        <v>No</v>
      </c>
    </row>
    <row r="374" spans="2:11" ht="11.25" hidden="1">
      <c r="B374" s="27">
        <v>372</v>
      </c>
      <c r="C374" s="29">
        <f t="shared" ca="1" si="34"/>
        <v>7.5400678392862977E-2</v>
      </c>
      <c r="D374" s="29">
        <f t="shared" ca="1" si="35"/>
        <v>5.1078995122561803E-2</v>
      </c>
      <c r="E374" s="29">
        <f t="shared" ca="1" si="36"/>
        <v>2.6165556010793983E-2</v>
      </c>
      <c r="F374" s="30">
        <f ca="1">'Single Simulation'!$AP$4*Results!C374</f>
        <v>142966.92914748288</v>
      </c>
      <c r="G374" s="30">
        <f ca="1">'Single Simulation'!$AP$5*Results!D374</f>
        <v>48313.00559763021</v>
      </c>
      <c r="H374" s="30">
        <f t="shared" ca="1" si="38"/>
        <v>94653.923549852669</v>
      </c>
      <c r="I374" s="30">
        <f t="shared" ca="1" si="39"/>
        <v>2476.6725382850818</v>
      </c>
      <c r="J374" s="25">
        <f ca="1">'Single Simulation'!$AP$7*Results!E374</f>
        <v>365586.04031488008</v>
      </c>
      <c r="K374" s="28" t="str">
        <f t="shared" ca="1" si="37"/>
        <v>No</v>
      </c>
    </row>
    <row r="375" spans="2:11" ht="11.25" hidden="1">
      <c r="B375" s="27">
        <v>373</v>
      </c>
      <c r="C375" s="24">
        <f t="shared" ca="1" si="34"/>
        <v>6.3223236395557839E-2</v>
      </c>
      <c r="D375" s="24">
        <f t="shared" ca="1" si="35"/>
        <v>5.1499160517632155E-2</v>
      </c>
      <c r="E375" s="24">
        <f t="shared" ca="1" si="36"/>
        <v>9.2496315863995759E-2</v>
      </c>
      <c r="F375" s="25">
        <f ca="1">'Single Simulation'!$AP$4*Results!C375</f>
        <v>119877.32936755441</v>
      </c>
      <c r="G375" s="25">
        <f ca="1">'Single Simulation'!$AP$5*Results!D375</f>
        <v>48710.418527059555</v>
      </c>
      <c r="H375" s="25">
        <f t="shared" ca="1" si="38"/>
        <v>71166.910840494849</v>
      </c>
      <c r="I375" s="25">
        <f t="shared" ca="1" si="39"/>
        <v>6582.6770641672356</v>
      </c>
      <c r="J375" s="25">
        <f ca="1">'Single Simulation'!$AP$7*Results!E375</f>
        <v>1292361.6775612528</v>
      </c>
      <c r="K375" s="28" t="str">
        <f t="shared" ca="1" si="37"/>
        <v>No</v>
      </c>
    </row>
    <row r="376" spans="2:11" ht="11.25" hidden="1">
      <c r="B376" s="27">
        <v>374</v>
      </c>
      <c r="C376" s="29">
        <f t="shared" ca="1" si="34"/>
        <v>5.4707889316515601E-2</v>
      </c>
      <c r="D376" s="29">
        <f t="shared" ca="1" si="35"/>
        <v>4.0319284961982269E-2</v>
      </c>
      <c r="E376" s="29">
        <f t="shared" ca="1" si="36"/>
        <v>0.16905543329420958</v>
      </c>
      <c r="F376" s="30">
        <f ca="1">'Single Simulation'!$AP$4*Results!C376</f>
        <v>103731.41332986938</v>
      </c>
      <c r="G376" s="30">
        <f ca="1">'Single Simulation'!$AP$5*Results!D376</f>
        <v>38135.946789608657</v>
      </c>
      <c r="H376" s="30">
        <f t="shared" ca="1" si="38"/>
        <v>65595.466540260721</v>
      </c>
      <c r="I376" s="30">
        <f t="shared" ca="1" si="39"/>
        <v>11089.270018099603</v>
      </c>
      <c r="J376" s="25">
        <f ca="1">'Single Simulation'!$AP$7*Results!E376</f>
        <v>2362048.275459941</v>
      </c>
      <c r="K376" s="28" t="str">
        <f t="shared" ca="1" si="37"/>
        <v>No</v>
      </c>
    </row>
    <row r="377" spans="2:11" ht="11.25" hidden="1">
      <c r="B377" s="27">
        <v>375</v>
      </c>
      <c r="C377" s="24">
        <f t="shared" ca="1" si="34"/>
        <v>6.125557668908934E-2</v>
      </c>
      <c r="D377" s="24">
        <f t="shared" ca="1" si="35"/>
        <v>4.497225858486803E-2</v>
      </c>
      <c r="E377" s="24">
        <f t="shared" ca="1" si="36"/>
        <v>2.863393755546035E-2</v>
      </c>
      <c r="F377" s="25">
        <f ca="1">'Single Simulation'!$AP$4*Results!C377</f>
        <v>116146.45755264423</v>
      </c>
      <c r="G377" s="25">
        <f ca="1">'Single Simulation'!$AP$5*Results!D377</f>
        <v>42536.956248559633</v>
      </c>
      <c r="H377" s="25">
        <f t="shared" ca="1" si="38"/>
        <v>73609.50130408461</v>
      </c>
      <c r="I377" s="25">
        <f t="shared" ca="1" si="39"/>
        <v>2107.7298638297357</v>
      </c>
      <c r="J377" s="25">
        <f ca="1">'Single Simulation'!$AP$7*Results!E377</f>
        <v>400074.3513803372</v>
      </c>
      <c r="K377" s="28" t="str">
        <f t="shared" ca="1" si="37"/>
        <v>No</v>
      </c>
    </row>
    <row r="378" spans="2:11" ht="11.25" hidden="1">
      <c r="B378" s="27">
        <v>376</v>
      </c>
      <c r="C378" s="29">
        <f t="shared" ca="1" si="34"/>
        <v>5.1167658372973449E-2</v>
      </c>
      <c r="D378" s="29">
        <f t="shared" ca="1" si="35"/>
        <v>3.828112639613572E-2</v>
      </c>
      <c r="E378" s="29">
        <f t="shared" ca="1" si="36"/>
        <v>0.12523485817336971</v>
      </c>
      <c r="F378" s="30">
        <f ca="1">'Single Simulation'!$AP$4*Results!C378</f>
        <v>97018.795389829393</v>
      </c>
      <c r="G378" s="30">
        <f ca="1">'Single Simulation'!$AP$5*Results!D378</f>
        <v>36208.156981599925</v>
      </c>
      <c r="H378" s="30">
        <f t="shared" ca="1" si="38"/>
        <v>60810.638408229468</v>
      </c>
      <c r="I378" s="30">
        <f t="shared" ca="1" si="39"/>
        <v>7615.6116764866865</v>
      </c>
      <c r="J378" s="25">
        <f ca="1">'Single Simulation'!$AP$7*Results!E378</f>
        <v>1749785.7064497569</v>
      </c>
      <c r="K378" s="28" t="str">
        <f t="shared" ca="1" si="37"/>
        <v>No</v>
      </c>
    </row>
    <row r="379" spans="2:11" ht="11.25" hidden="1">
      <c r="B379" s="27">
        <v>377</v>
      </c>
      <c r="C379" s="24">
        <f t="shared" ca="1" si="34"/>
        <v>0.02</v>
      </c>
      <c r="D379" s="24">
        <f t="shared" ca="1" si="35"/>
        <v>6.1337211364297886E-2</v>
      </c>
      <c r="E379" s="24">
        <f t="shared" ca="1" si="36"/>
        <v>0.11298605623597227</v>
      </c>
      <c r="F379" s="25">
        <f ca="1">'Single Simulation'!$AP$4*Results!C379</f>
        <v>37921.921180225181</v>
      </c>
      <c r="G379" s="25">
        <f ca="1">'Single Simulation'!$AP$5*Results!D379</f>
        <v>58015.726990631651</v>
      </c>
      <c r="H379" s="25">
        <f t="shared" ca="1" si="38"/>
        <v>-20093.805810406469</v>
      </c>
      <c r="I379" s="25">
        <f t="shared" ca="1" si="39"/>
        <v>-2270.3198732892915</v>
      </c>
      <c r="J379" s="25">
        <f ca="1">'Single Simulation'!$AP$7*Results!E379</f>
        <v>1578645.0283366269</v>
      </c>
      <c r="K379" s="28" t="str">
        <f t="shared" ca="1" si="37"/>
        <v>No</v>
      </c>
    </row>
    <row r="380" spans="2:11" ht="11.25" hidden="1">
      <c r="B380" s="27">
        <v>378</v>
      </c>
      <c r="C380" s="29">
        <f t="shared" ca="1" si="34"/>
        <v>7.9156905366611977E-2</v>
      </c>
      <c r="D380" s="29">
        <f t="shared" ca="1" si="35"/>
        <v>4.819736292025642E-2</v>
      </c>
      <c r="E380" s="29">
        <f t="shared" ca="1" si="36"/>
        <v>0.10730627554562122</v>
      </c>
      <c r="F380" s="30">
        <f ca="1">'Single Simulation'!$AP$4*Results!C380</f>
        <v>150089.09630916014</v>
      </c>
      <c r="G380" s="30">
        <f ca="1">'Single Simulation'!$AP$5*Results!D380</f>
        <v>45587.41727338385</v>
      </c>
      <c r="H380" s="30">
        <f t="shared" ca="1" si="38"/>
        <v>104501.67903577629</v>
      </c>
      <c r="I380" s="30">
        <f t="shared" ca="1" si="39"/>
        <v>11213.68596559308</v>
      </c>
      <c r="J380" s="25">
        <f ca="1">'Single Simulation'!$AP$7*Results!E380</f>
        <v>1499286.9389619634</v>
      </c>
      <c r="K380" s="28" t="str">
        <f t="shared" ca="1" si="37"/>
        <v>No</v>
      </c>
    </row>
    <row r="381" spans="2:11" ht="11.25" hidden="1">
      <c r="B381" s="27">
        <v>379</v>
      </c>
      <c r="C381" s="24">
        <f t="shared" ca="1" si="34"/>
        <v>3.2882282445180121E-2</v>
      </c>
      <c r="D381" s="24">
        <f t="shared" ca="1" si="35"/>
        <v>3.0843341652174245E-2</v>
      </c>
      <c r="E381" s="24">
        <f t="shared" ca="1" si="36"/>
        <v>9.7246284829564628E-2</v>
      </c>
      <c r="F381" s="25">
        <f ca="1">'Single Simulation'!$AP$4*Results!C381</f>
        <v>62347.966155601127</v>
      </c>
      <c r="G381" s="25">
        <f ca="1">'Single Simulation'!$AP$5*Results!D381</f>
        <v>29173.137300677179</v>
      </c>
      <c r="H381" s="25">
        <f t="shared" ca="1" si="38"/>
        <v>33174.828854923951</v>
      </c>
      <c r="I381" s="25">
        <f t="shared" ca="1" si="39"/>
        <v>3226.1288559979939</v>
      </c>
      <c r="J381" s="25">
        <f ca="1">'Single Simulation'!$AP$7*Results!E381</f>
        <v>1358728.4058289239</v>
      </c>
      <c r="K381" s="28" t="str">
        <f t="shared" ca="1" si="37"/>
        <v>No</v>
      </c>
    </row>
    <row r="382" spans="2:11" ht="11.25" hidden="1">
      <c r="B382" s="27">
        <v>380</v>
      </c>
      <c r="C382" s="29">
        <f t="shared" ca="1" si="34"/>
        <v>4.4318979036774543E-2</v>
      </c>
      <c r="D382" s="29">
        <f t="shared" ca="1" si="35"/>
        <v>4.5300174662609147E-2</v>
      </c>
      <c r="E382" s="29">
        <f t="shared" ca="1" si="36"/>
        <v>0.11974092043858876</v>
      </c>
      <c r="F382" s="30">
        <f ca="1">'Single Simulation'!$AP$4*Results!C382</f>
        <v>84033.041491030803</v>
      </c>
      <c r="G382" s="30">
        <f ca="1">'Single Simulation'!$AP$5*Results!D382</f>
        <v>42847.115273055831</v>
      </c>
      <c r="H382" s="30">
        <f t="shared" ca="1" si="38"/>
        <v>41185.926217974971</v>
      </c>
      <c r="I382" s="30">
        <f t="shared" ca="1" si="39"/>
        <v>4931.6407144561281</v>
      </c>
      <c r="J382" s="25">
        <f ca="1">'Single Simulation'!$AP$7*Results!E382</f>
        <v>1673024.221183917</v>
      </c>
      <c r="K382" s="28" t="str">
        <f t="shared" ca="1" si="37"/>
        <v>No</v>
      </c>
    </row>
    <row r="383" spans="2:11" ht="11.25" hidden="1">
      <c r="B383" s="27">
        <v>381</v>
      </c>
      <c r="C383" s="24">
        <f t="shared" ca="1" si="34"/>
        <v>7.4613956307417961E-2</v>
      </c>
      <c r="D383" s="24">
        <f t="shared" ca="1" si="35"/>
        <v>5.7082891513766623E-2</v>
      </c>
      <c r="E383" s="24">
        <f t="shared" ca="1" si="36"/>
        <v>8.3885102909882811E-2</v>
      </c>
      <c r="F383" s="25">
        <f ca="1">'Single Simulation'!$AP$4*Results!C383</f>
        <v>141475.22850173345</v>
      </c>
      <c r="G383" s="25">
        <f ca="1">'Single Simulation'!$AP$5*Results!D383</f>
        <v>53991.783718849489</v>
      </c>
      <c r="H383" s="25">
        <f t="shared" ca="1" si="38"/>
        <v>87483.444782883962</v>
      </c>
      <c r="I383" s="25">
        <f t="shared" ca="1" si="39"/>
        <v>7338.557768523272</v>
      </c>
      <c r="J383" s="25">
        <f ca="1">'Single Simulation'!$AP$7*Results!E383</f>
        <v>1172045.5166929853</v>
      </c>
      <c r="K383" s="28" t="str">
        <f t="shared" ca="1" si="37"/>
        <v>No</v>
      </c>
    </row>
    <row r="384" spans="2:11" ht="11.25" hidden="1">
      <c r="B384" s="27">
        <v>382</v>
      </c>
      <c r="C384" s="29">
        <f t="shared" ca="1" si="34"/>
        <v>4.7922824867825432E-2</v>
      </c>
      <c r="D384" s="29">
        <f t="shared" ca="1" si="35"/>
        <v>0.02</v>
      </c>
      <c r="E384" s="29">
        <f t="shared" ca="1" si="36"/>
        <v>0.14799914749155341</v>
      </c>
      <c r="F384" s="30">
        <f ca="1">'Single Simulation'!$AP$4*Results!C384</f>
        <v>90866.279368570555</v>
      </c>
      <c r="G384" s="30">
        <f ca="1">'Single Simulation'!$AP$5*Results!D384</f>
        <v>18916.975747743385</v>
      </c>
      <c r="H384" s="30">
        <f t="shared" ca="1" si="38"/>
        <v>71949.303620827166</v>
      </c>
      <c r="I384" s="30">
        <f t="shared" ca="1" si="39"/>
        <v>10648.435598493357</v>
      </c>
      <c r="J384" s="25">
        <f ca="1">'Single Simulation'!$AP$7*Results!E384</f>
        <v>2067849.132619028</v>
      </c>
      <c r="K384" s="28" t="str">
        <f t="shared" ca="1" si="37"/>
        <v>No</v>
      </c>
    </row>
    <row r="385" spans="2:11" ht="11.25" hidden="1">
      <c r="B385" s="27">
        <v>383</v>
      </c>
      <c r="C385" s="24">
        <f t="shared" ca="1" si="34"/>
        <v>6.7683910579475232E-2</v>
      </c>
      <c r="D385" s="24">
        <f t="shared" ca="1" si="35"/>
        <v>4.7288101980794195E-2</v>
      </c>
      <c r="E385" s="24">
        <f t="shared" ca="1" si="36"/>
        <v>6.2759148828505223E-2</v>
      </c>
      <c r="F385" s="25">
        <f ca="1">'Single Simulation'!$AP$4*Results!C385</f>
        <v>128335.19610821344</v>
      </c>
      <c r="G385" s="25">
        <f ca="1">'Single Simulation'!$AP$5*Results!D385</f>
        <v>44727.393916374982</v>
      </c>
      <c r="H385" s="25">
        <f t="shared" ca="1" si="38"/>
        <v>83607.802191838447</v>
      </c>
      <c r="I385" s="25">
        <f t="shared" ca="1" si="39"/>
        <v>5247.1545009818146</v>
      </c>
      <c r="J385" s="25">
        <f ca="1">'Single Simulation'!$AP$7*Results!E385</f>
        <v>876872.96628745506</v>
      </c>
      <c r="K385" s="28" t="str">
        <f t="shared" ca="1" si="37"/>
        <v>No</v>
      </c>
    </row>
    <row r="386" spans="2:11" ht="11.25" hidden="1">
      <c r="B386" s="27">
        <v>384</v>
      </c>
      <c r="C386" s="29">
        <f t="shared" ca="1" si="34"/>
        <v>6.1546540362811465E-2</v>
      </c>
      <c r="D386" s="29">
        <f t="shared" ca="1" si="35"/>
        <v>6.6405358461177302E-2</v>
      </c>
      <c r="E386" s="29">
        <f t="shared" ca="1" si="36"/>
        <v>0.10710202586587636</v>
      </c>
      <c r="F386" s="30">
        <f ca="1">'Single Simulation'!$AP$4*Results!C386</f>
        <v>116698.1526277042</v>
      </c>
      <c r="G386" s="30">
        <f ca="1">'Single Simulation'!$AP$5*Results!D386</f>
        <v>62809.427776514851</v>
      </c>
      <c r="H386" s="30">
        <f t="shared" ca="1" si="38"/>
        <v>53888.724851189349</v>
      </c>
      <c r="I386" s="30">
        <f t="shared" ca="1" si="39"/>
        <v>5771.5916028911761</v>
      </c>
      <c r="J386" s="25">
        <f ca="1">'Single Simulation'!$AP$7*Results!E386</f>
        <v>1496433.1554756616</v>
      </c>
      <c r="K386" s="28" t="str">
        <f t="shared" ca="1" si="37"/>
        <v>No</v>
      </c>
    </row>
    <row r="387" spans="2:11" ht="11.25" hidden="1">
      <c r="B387" s="27">
        <v>385</v>
      </c>
      <c r="C387" s="24">
        <f t="shared" ca="1" si="34"/>
        <v>7.7724417485684996E-2</v>
      </c>
      <c r="D387" s="24">
        <f t="shared" ca="1" si="35"/>
        <v>3.9700729025315039E-2</v>
      </c>
      <c r="E387" s="24">
        <f t="shared" ca="1" si="36"/>
        <v>1.0272761936436024E-2</v>
      </c>
      <c r="F387" s="25">
        <f ca="1">'Single Simulation'!$AP$4*Results!C387</f>
        <v>147372.96168355309</v>
      </c>
      <c r="G387" s="25">
        <f ca="1">'Single Simulation'!$AP$5*Results!D387</f>
        <v>37550.886406980819</v>
      </c>
      <c r="H387" s="25">
        <f t="shared" ca="1" si="38"/>
        <v>109822.07527657227</v>
      </c>
      <c r="I387" s="25">
        <f t="shared" ca="1" si="39"/>
        <v>1128.1760346815834</v>
      </c>
      <c r="J387" s="25">
        <f ca="1">'Single Simulation'!$AP$7*Results!E387</f>
        <v>143531.37987550467</v>
      </c>
      <c r="K387" s="28" t="str">
        <f t="shared" ca="1" si="37"/>
        <v>No</v>
      </c>
    </row>
    <row r="388" spans="2:11" ht="11.25" hidden="1">
      <c r="B388" s="27">
        <v>386</v>
      </c>
      <c r="C388" s="29">
        <f t="shared" ref="C388:C451" ca="1" si="40">MAX(0.02,MIN(0.12,_xlfn.NORM.INV(RAND(),0.06,0.02)))</f>
        <v>7.6556561853087318E-2</v>
      </c>
      <c r="D388" s="29">
        <f t="shared" ref="D388:D451" ca="1" si="41">MAX(0.02,MIN(0.08,_xlfn.NORM.INV(RAND(),0.05,0.015)))</f>
        <v>5.5636443949350814E-2</v>
      </c>
      <c r="E388" s="29">
        <f t="shared" ref="E388:E451" ca="1" si="42">MAX(-0.1,MIN(0.25,_xlfn.NORM.INV(RAND(),0.07,0.04)))</f>
        <v>5.7503679827336833E-2</v>
      </c>
      <c r="F388" s="30">
        <f ca="1">'Single Simulation'!$AP$4*Results!C388</f>
        <v>145158.59522109054</v>
      </c>
      <c r="G388" s="30">
        <f ca="1">'Single Simulation'!$AP$5*Results!D388</f>
        <v>52623.663044027671</v>
      </c>
      <c r="H388" s="30">
        <f t="shared" ca="1" si="38"/>
        <v>92534.932177062874</v>
      </c>
      <c r="I388" s="30">
        <f t="shared" ca="1" si="39"/>
        <v>5321.099112754152</v>
      </c>
      <c r="J388" s="25">
        <f ca="1">'Single Simulation'!$AP$7*Results!E388</f>
        <v>803443.37429475482</v>
      </c>
      <c r="K388" s="28" t="str">
        <f t="shared" ref="K388:K451" ca="1" si="43">IF(J388&gt;$N$4,"Yes","No")</f>
        <v>No</v>
      </c>
    </row>
    <row r="389" spans="2:11" ht="11.25" hidden="1">
      <c r="B389" s="27">
        <v>387</v>
      </c>
      <c r="C389" s="24">
        <f t="shared" ca="1" si="40"/>
        <v>3.7004792923732578E-2</v>
      </c>
      <c r="D389" s="24">
        <f t="shared" ca="1" si="41"/>
        <v>4.015300645878065E-2</v>
      </c>
      <c r="E389" s="24">
        <f t="shared" ca="1" si="42"/>
        <v>6.0235618826237992E-2</v>
      </c>
      <c r="F389" s="25">
        <f ca="1">'Single Simulation'!$AP$4*Results!C389</f>
        <v>70164.642027217065</v>
      </c>
      <c r="G389" s="25">
        <f ca="1">'Single Simulation'!$AP$5*Results!D389</f>
        <v>37978.67246898685</v>
      </c>
      <c r="H389" s="25">
        <f t="shared" ca="1" si="38"/>
        <v>32185.969558230216</v>
      </c>
      <c r="I389" s="25">
        <f t="shared" ca="1" si="39"/>
        <v>1938.7417938624549</v>
      </c>
      <c r="J389" s="25">
        <f ca="1">'Single Simulation'!$AP$7*Results!E389</f>
        <v>841614.11909291835</v>
      </c>
      <c r="K389" s="28" t="str">
        <f t="shared" ca="1" si="43"/>
        <v>No</v>
      </c>
    </row>
    <row r="390" spans="2:11" ht="11.25" hidden="1">
      <c r="B390" s="27">
        <v>388</v>
      </c>
      <c r="C390" s="29">
        <f t="shared" ca="1" si="40"/>
        <v>8.8663209187393538E-2</v>
      </c>
      <c r="D390" s="29">
        <f t="shared" ca="1" si="41"/>
        <v>4.0935044742229552E-2</v>
      </c>
      <c r="E390" s="29">
        <f t="shared" ca="1" si="42"/>
        <v>8.714034263972753E-2</v>
      </c>
      <c r="F390" s="30">
        <f ca="1">'Single Simulation'!$AP$4*Results!C390</f>
        <v>168113.96151950772</v>
      </c>
      <c r="G390" s="30">
        <f ca="1">'Single Simulation'!$AP$5*Results!D390</f>
        <v>38718.362431077338</v>
      </c>
      <c r="H390" s="30">
        <f t="shared" ca="1" si="38"/>
        <v>129395.59908843038</v>
      </c>
      <c r="I390" s="30">
        <f t="shared" ca="1" si="39"/>
        <v>11275.576840638638</v>
      </c>
      <c r="J390" s="25">
        <f ca="1">'Single Simulation'!$AP$7*Results!E390</f>
        <v>1217527.8371381797</v>
      </c>
      <c r="K390" s="28" t="str">
        <f t="shared" ca="1" si="43"/>
        <v>No</v>
      </c>
    </row>
    <row r="391" spans="2:11" ht="11.25" hidden="1">
      <c r="B391" s="27">
        <v>389</v>
      </c>
      <c r="C391" s="24">
        <f t="shared" ca="1" si="40"/>
        <v>4.4373052680605367E-2</v>
      </c>
      <c r="D391" s="24">
        <f t="shared" ca="1" si="41"/>
        <v>4.3003225948209947E-2</v>
      </c>
      <c r="E391" s="24">
        <f t="shared" ca="1" si="42"/>
        <v>1.8881182335000579E-2</v>
      </c>
      <c r="F391" s="25">
        <f ca="1">'Single Simulation'!$AP$4*Results!C391</f>
        <v>84135.570313994816</v>
      </c>
      <c r="G391" s="25">
        <f ca="1">'Single Simulation'!$AP$5*Results!D391</f>
        <v>40674.549116850831</v>
      </c>
      <c r="H391" s="25">
        <f t="shared" ca="1" si="38"/>
        <v>43461.021197143986</v>
      </c>
      <c r="I391" s="25">
        <f t="shared" ca="1" si="39"/>
        <v>820.59546568860071</v>
      </c>
      <c r="J391" s="25">
        <f ca="1">'Single Simulation'!$AP$7*Results!E391</f>
        <v>263808.52306247875</v>
      </c>
      <c r="K391" s="28" t="str">
        <f t="shared" ca="1" si="43"/>
        <v>No</v>
      </c>
    </row>
    <row r="392" spans="2:11" ht="11.25" hidden="1">
      <c r="B392" s="27">
        <v>390</v>
      </c>
      <c r="C392" s="29">
        <f t="shared" ca="1" si="40"/>
        <v>7.1876588528379609E-2</v>
      </c>
      <c r="D392" s="29">
        <f t="shared" ca="1" si="41"/>
        <v>5.3203864594810607E-2</v>
      </c>
      <c r="E392" s="29">
        <f t="shared" ca="1" si="42"/>
        <v>0.10747091862020325</v>
      </c>
      <c r="F392" s="30">
        <f ca="1">'Single Simulation'!$AP$4*Results!C392</f>
        <v>136284.91624383445</v>
      </c>
      <c r="G392" s="30">
        <f ca="1">'Single Simulation'!$AP$5*Results!D392</f>
        <v>50322.81081131276</v>
      </c>
      <c r="H392" s="30">
        <f t="shared" ca="1" si="38"/>
        <v>85962.105432521697</v>
      </c>
      <c r="I392" s="30">
        <f t="shared" ca="1" si="39"/>
        <v>9238.4264373598708</v>
      </c>
      <c r="J392" s="25">
        <f ca="1">'Single Simulation'!$AP$7*Results!E392</f>
        <v>1501587.3376111218</v>
      </c>
      <c r="K392" s="28" t="str">
        <f t="shared" ca="1" si="43"/>
        <v>No</v>
      </c>
    </row>
    <row r="393" spans="2:11" ht="11.25" hidden="1">
      <c r="B393" s="27">
        <v>391</v>
      </c>
      <c r="C393" s="24">
        <f t="shared" ca="1" si="40"/>
        <v>4.9324692081182696E-2</v>
      </c>
      <c r="D393" s="24">
        <f t="shared" ca="1" si="41"/>
        <v>2.7581559017528047E-2</v>
      </c>
      <c r="E393" s="24">
        <f t="shared" ca="1" si="42"/>
        <v>4.1160188704818024E-2</v>
      </c>
      <c r="F393" s="25">
        <f ca="1">'Single Simulation'!$AP$4*Results!C393</f>
        <v>93524.354267074363</v>
      </c>
      <c r="G393" s="25">
        <f ca="1">'Single Simulation'!$AP$5*Results!D393</f>
        <v>26087.984150976547</v>
      </c>
      <c r="H393" s="25">
        <f t="shared" ca="1" si="38"/>
        <v>67436.370116097823</v>
      </c>
      <c r="I393" s="25">
        <f t="shared" ca="1" si="39"/>
        <v>2775.6937195465375</v>
      </c>
      <c r="J393" s="25">
        <f ca="1">'Single Simulation'!$AP$7*Results!E393</f>
        <v>575091.55933854973</v>
      </c>
      <c r="K393" s="28" t="str">
        <f t="shared" ca="1" si="43"/>
        <v>No</v>
      </c>
    </row>
    <row r="394" spans="2:11" ht="11.25" hidden="1">
      <c r="B394" s="27">
        <v>392</v>
      </c>
      <c r="C394" s="29">
        <f t="shared" ca="1" si="40"/>
        <v>6.7149349944325143E-2</v>
      </c>
      <c r="D394" s="29">
        <f t="shared" ca="1" si="41"/>
        <v>6.6356083474526664E-2</v>
      </c>
      <c r="E394" s="29">
        <f t="shared" ca="1" si="42"/>
        <v>2.8546401654401678E-2</v>
      </c>
      <c r="F394" s="30">
        <f ca="1">'Single Simulation'!$AP$4*Results!C394</f>
        <v>127321.6177946028</v>
      </c>
      <c r="G394" s="30">
        <f ca="1">'Single Simulation'!$AP$5*Results!D394</f>
        <v>62762.821090142825</v>
      </c>
      <c r="H394" s="30">
        <f t="shared" ca="1" si="38"/>
        <v>64558.796704459979</v>
      </c>
      <c r="I394" s="30">
        <f t="shared" ca="1" si="39"/>
        <v>1842.921341050378</v>
      </c>
      <c r="J394" s="25">
        <f ca="1">'Single Simulation'!$AP$7*Results!E394</f>
        <v>398851.2967874888</v>
      </c>
      <c r="K394" s="28" t="str">
        <f t="shared" ca="1" si="43"/>
        <v>No</v>
      </c>
    </row>
    <row r="395" spans="2:11" ht="11.25" hidden="1">
      <c r="B395" s="27">
        <v>393</v>
      </c>
      <c r="C395" s="24">
        <f t="shared" ca="1" si="40"/>
        <v>6.0791981487242387E-2</v>
      </c>
      <c r="D395" s="24">
        <f t="shared" ca="1" si="41"/>
        <v>5.4301294695991251E-2</v>
      </c>
      <c r="E395" s="24">
        <f t="shared" ca="1" si="42"/>
        <v>6.5122036297032615E-2</v>
      </c>
      <c r="F395" s="25">
        <f ca="1">'Single Simulation'!$AP$4*Results!C395</f>
        <v>115267.43651744571</v>
      </c>
      <c r="G395" s="25">
        <f ca="1">'Single Simulation'!$AP$5*Results!D395</f>
        <v>51360.813741756647</v>
      </c>
      <c r="H395" s="25">
        <f t="shared" ca="1" si="38"/>
        <v>63906.622775689058</v>
      </c>
      <c r="I395" s="25">
        <f t="shared" ca="1" si="39"/>
        <v>4161.7294080191941</v>
      </c>
      <c r="J395" s="25">
        <f ca="1">'Single Simulation'!$AP$7*Results!E395</f>
        <v>909887.31052582036</v>
      </c>
      <c r="K395" s="28" t="str">
        <f t="shared" ca="1" si="43"/>
        <v>No</v>
      </c>
    </row>
    <row r="396" spans="2:11" ht="11.25" hidden="1">
      <c r="B396" s="27">
        <v>394</v>
      </c>
      <c r="C396" s="29">
        <f t="shared" ca="1" si="40"/>
        <v>5.6959794362034931E-2</v>
      </c>
      <c r="D396" s="29">
        <f t="shared" ca="1" si="41"/>
        <v>4.1219531181052219E-2</v>
      </c>
      <c r="E396" s="29">
        <f t="shared" ca="1" si="42"/>
        <v>0.12079992132440021</v>
      </c>
      <c r="F396" s="30">
        <f ca="1">'Single Simulation'!$AP$4*Results!C396</f>
        <v>108001.24161194616</v>
      </c>
      <c r="G396" s="30">
        <f ca="1">'Single Simulation'!$AP$5*Results!D396</f>
        <v>38987.443584265849</v>
      </c>
      <c r="H396" s="30">
        <f t="shared" ca="1" si="38"/>
        <v>69013.798027680314</v>
      </c>
      <c r="I396" s="30">
        <f t="shared" ca="1" si="39"/>
        <v>8336.8613720418289</v>
      </c>
      <c r="J396" s="25">
        <f ca="1">'Single Simulation'!$AP$7*Results!E396</f>
        <v>1687820.617651626</v>
      </c>
      <c r="K396" s="28" t="str">
        <f t="shared" ca="1" si="43"/>
        <v>No</v>
      </c>
    </row>
    <row r="397" spans="2:11" ht="11.25" hidden="1">
      <c r="B397" s="27">
        <v>395</v>
      </c>
      <c r="C397" s="24">
        <f t="shared" ca="1" si="40"/>
        <v>6.4415769505817122E-2</v>
      </c>
      <c r="D397" s="24">
        <f t="shared" ca="1" si="41"/>
        <v>3.1083527673046594E-2</v>
      </c>
      <c r="E397" s="24">
        <f t="shared" ca="1" si="42"/>
        <v>0.1096708078387621</v>
      </c>
      <c r="F397" s="25">
        <f ca="1">'Single Simulation'!$AP$4*Results!C397</f>
        <v>122138.48669815747</v>
      </c>
      <c r="G397" s="25">
        <f ca="1">'Single Simulation'!$AP$5*Results!D397</f>
        <v>29400.316957266637</v>
      </c>
      <c r="H397" s="25">
        <f t="shared" ca="1" si="38"/>
        <v>92738.169740890837</v>
      </c>
      <c r="I397" s="25">
        <f t="shared" ca="1" si="39"/>
        <v>10170.669992971742</v>
      </c>
      <c r="J397" s="25">
        <f ca="1">'Single Simulation'!$AP$7*Results!E397</f>
        <v>1532324.2647458846</v>
      </c>
      <c r="K397" s="28" t="str">
        <f t="shared" ca="1" si="43"/>
        <v>No</v>
      </c>
    </row>
    <row r="398" spans="2:11" ht="11.25" hidden="1">
      <c r="B398" s="27">
        <v>396</v>
      </c>
      <c r="C398" s="29">
        <f t="shared" ca="1" si="40"/>
        <v>7.2140207702360709E-2</v>
      </c>
      <c r="D398" s="29">
        <f t="shared" ca="1" si="41"/>
        <v>5.6790027734526793E-2</v>
      </c>
      <c r="E398" s="29">
        <f t="shared" ca="1" si="42"/>
        <v>5.3727896702587132E-2</v>
      </c>
      <c r="F398" s="30">
        <f ca="1">'Single Simulation'!$AP$4*Results!C398</f>
        <v>136784.76352069981</v>
      </c>
      <c r="G398" s="30">
        <f ca="1">'Single Simulation'!$AP$5*Results!D398</f>
        <v>53714.778868385874</v>
      </c>
      <c r="H398" s="30">
        <f t="shared" ca="1" si="38"/>
        <v>83069.984652313928</v>
      </c>
      <c r="I398" s="30">
        <f t="shared" ca="1" si="39"/>
        <v>4463.1755544850212</v>
      </c>
      <c r="J398" s="25">
        <f ca="1">'Single Simulation'!$AP$7*Results!E398</f>
        <v>750688.00379563193</v>
      </c>
      <c r="K398" s="28" t="str">
        <f t="shared" ca="1" si="43"/>
        <v>No</v>
      </c>
    </row>
    <row r="399" spans="2:11" ht="11.25" hidden="1">
      <c r="B399" s="27">
        <v>397</v>
      </c>
      <c r="C399" s="24">
        <f t="shared" ca="1" si="40"/>
        <v>6.3497411655343991E-2</v>
      </c>
      <c r="D399" s="24">
        <f t="shared" ca="1" si="41"/>
        <v>2.9716587267668737E-2</v>
      </c>
      <c r="E399" s="24">
        <f t="shared" ca="1" si="42"/>
        <v>8.5036157476708743E-2</v>
      </c>
      <c r="F399" s="25">
        <f ca="1">'Single Simulation'!$AP$4*Results!C399</f>
        <v>120397.19199711332</v>
      </c>
      <c r="G399" s="25">
        <f ca="1">'Single Simulation'!$AP$5*Results!D399</f>
        <v>28107.398032409466</v>
      </c>
      <c r="H399" s="25">
        <f t="shared" ca="1" si="38"/>
        <v>92289.793964703858</v>
      </c>
      <c r="I399" s="25">
        <f t="shared" ca="1" si="39"/>
        <v>7847.9694530755614</v>
      </c>
      <c r="J399" s="25">
        <f ca="1">'Single Simulation'!$AP$7*Results!E399</f>
        <v>1188128.0903290533</v>
      </c>
      <c r="K399" s="28" t="str">
        <f t="shared" ca="1" si="43"/>
        <v>No</v>
      </c>
    </row>
    <row r="400" spans="2:11" ht="11.25" hidden="1">
      <c r="B400" s="27">
        <v>398</v>
      </c>
      <c r="C400" s="29">
        <f t="shared" ca="1" si="40"/>
        <v>9.4427520389648301E-2</v>
      </c>
      <c r="D400" s="29">
        <f t="shared" ca="1" si="41"/>
        <v>5.5030392266330157E-2</v>
      </c>
      <c r="E400" s="29">
        <f t="shared" ca="1" si="42"/>
        <v>6.3160979509115256E-2</v>
      </c>
      <c r="F400" s="30">
        <f ca="1">'Single Simulation'!$AP$4*Results!C400</f>
        <v>179043.64927301742</v>
      </c>
      <c r="G400" s="30">
        <f ca="1">'Single Simulation'!$AP$5*Results!D400</f>
        <v>52050.429794548632</v>
      </c>
      <c r="H400" s="30">
        <f t="shared" ca="1" si="38"/>
        <v>126993.21947846879</v>
      </c>
      <c r="I400" s="30">
        <f t="shared" ca="1" si="39"/>
        <v>8021.0161332761436</v>
      </c>
      <c r="J400" s="25">
        <f ca="1">'Single Simulation'!$AP$7*Results!E400</f>
        <v>882487.35825148039</v>
      </c>
      <c r="K400" s="28" t="str">
        <f t="shared" ca="1" si="43"/>
        <v>No</v>
      </c>
    </row>
    <row r="401" spans="2:11" ht="11.25" hidden="1">
      <c r="B401" s="27">
        <v>399</v>
      </c>
      <c r="C401" s="24">
        <f t="shared" ca="1" si="40"/>
        <v>7.2094779707962395E-2</v>
      </c>
      <c r="D401" s="24">
        <f t="shared" ca="1" si="41"/>
        <v>5.4099867452950888E-2</v>
      </c>
      <c r="E401" s="24">
        <f t="shared" ca="1" si="42"/>
        <v>6.5578384948896715E-2</v>
      </c>
      <c r="F401" s="25">
        <f ca="1">'Single Simulation'!$AP$4*Results!C401</f>
        <v>136698.62767955239</v>
      </c>
      <c r="G401" s="25">
        <f ca="1">'Single Simulation'!$AP$5*Results!D401</f>
        <v>51170.294028180178</v>
      </c>
      <c r="H401" s="25">
        <f t="shared" ca="1" si="38"/>
        <v>85528.333651372202</v>
      </c>
      <c r="I401" s="25">
        <f t="shared" ca="1" si="39"/>
        <v>5608.8099882273636</v>
      </c>
      <c r="J401" s="25">
        <f ca="1">'Single Simulation'!$AP$7*Results!E401</f>
        <v>916263.42944220058</v>
      </c>
      <c r="K401" s="28" t="str">
        <f t="shared" ca="1" si="43"/>
        <v>No</v>
      </c>
    </row>
    <row r="402" spans="2:11" ht="11.25" hidden="1">
      <c r="B402" s="27">
        <v>400</v>
      </c>
      <c r="C402" s="29">
        <f t="shared" ca="1" si="40"/>
        <v>7.9910151083117137E-2</v>
      </c>
      <c r="D402" s="29">
        <f t="shared" ca="1" si="41"/>
        <v>4.7708281754866126E-2</v>
      </c>
      <c r="E402" s="29">
        <f t="shared" ca="1" si="42"/>
        <v>9.4532371454068814E-2</v>
      </c>
      <c r="F402" s="30">
        <f ca="1">'Single Simulation'!$AP$4*Results!C402</f>
        <v>151517.32254369269</v>
      </c>
      <c r="G402" s="30">
        <f ca="1">'Single Simulation'!$AP$5*Results!D402</f>
        <v>45124.820446165533</v>
      </c>
      <c r="H402" s="30">
        <f t="shared" ca="1" si="38"/>
        <v>106392.50209752715</v>
      </c>
      <c r="I402" s="30">
        <f t="shared" ca="1" si="39"/>
        <v>10057.535528211232</v>
      </c>
      <c r="J402" s="25">
        <f ca="1">'Single Simulation'!$AP$7*Results!E402</f>
        <v>1320809.5156552999</v>
      </c>
      <c r="K402" s="28" t="str">
        <f t="shared" ca="1" si="43"/>
        <v>No</v>
      </c>
    </row>
    <row r="403" spans="2:11" ht="11.25" hidden="1">
      <c r="B403" s="27">
        <v>401</v>
      </c>
      <c r="C403" s="24">
        <f t="shared" ca="1" si="40"/>
        <v>7.2219487053542655E-2</v>
      </c>
      <c r="D403" s="24">
        <f t="shared" ca="1" si="41"/>
        <v>4.6389569707252672E-2</v>
      </c>
      <c r="E403" s="24">
        <f t="shared" ca="1" si="42"/>
        <v>-3.2438772537657715E-2</v>
      </c>
      <c r="F403" s="25">
        <f ca="1">'Single Simulation'!$AP$4*Results!C403</f>
        <v>136935.08478603687</v>
      </c>
      <c r="G403" s="25">
        <f ca="1">'Single Simulation'!$AP$5*Results!D403</f>
        <v>43877.518255017494</v>
      </c>
      <c r="H403" s="25">
        <f t="shared" ca="1" si="38"/>
        <v>93057.566531019373</v>
      </c>
      <c r="I403" s="25">
        <f t="shared" ca="1" si="39"/>
        <v>-3018.6732336076871</v>
      </c>
      <c r="J403" s="25">
        <f ca="1">'Single Simulation'!$AP$7*Results!E403</f>
        <v>-453235.63542181719</v>
      </c>
      <c r="K403" s="28" t="str">
        <f t="shared" ca="1" si="43"/>
        <v>No</v>
      </c>
    </row>
    <row r="404" spans="2:11" ht="11.25" hidden="1">
      <c r="B404" s="27">
        <v>402</v>
      </c>
      <c r="C404" s="29">
        <f t="shared" ca="1" si="40"/>
        <v>7.4306853727957922E-2</v>
      </c>
      <c r="D404" s="29">
        <f t="shared" ca="1" si="41"/>
        <v>5.8100234994887229E-2</v>
      </c>
      <c r="E404" s="29">
        <f t="shared" ca="1" si="42"/>
        <v>0.12947662632536591</v>
      </c>
      <c r="F404" s="30">
        <f ca="1">'Single Simulation'!$AP$4*Results!C404</f>
        <v>140892.93251110709</v>
      </c>
      <c r="G404" s="30">
        <f ca="1">'Single Simulation'!$AP$5*Results!D404</f>
        <v>54954.03681682366</v>
      </c>
      <c r="H404" s="30">
        <f t="shared" ca="1" si="38"/>
        <v>85938.895694283434</v>
      </c>
      <c r="I404" s="30">
        <f t="shared" ca="1" si="39"/>
        <v>11127.078284623334</v>
      </c>
      <c r="J404" s="25">
        <f ca="1">'Single Simulation'!$AP$7*Results!E404</f>
        <v>1809051.8356305142</v>
      </c>
      <c r="K404" s="28" t="str">
        <f t="shared" ca="1" si="43"/>
        <v>No</v>
      </c>
    </row>
    <row r="405" spans="2:11" ht="11.25" hidden="1">
      <c r="B405" s="27">
        <v>403</v>
      </c>
      <c r="C405" s="24">
        <f t="shared" ca="1" si="40"/>
        <v>2.9245700517727426E-2</v>
      </c>
      <c r="D405" s="24">
        <f t="shared" ca="1" si="41"/>
        <v>6.5705677942969359E-2</v>
      </c>
      <c r="E405" s="24">
        <f t="shared" ca="1" si="42"/>
        <v>0.1288917701815025</v>
      </c>
      <c r="F405" s="25">
        <f ca="1">'Single Simulation'!$AP$4*Results!C405</f>
        <v>55452.657494686508</v>
      </c>
      <c r="G405" s="25">
        <f ca="1">'Single Simulation'!$AP$5*Results!D405</f>
        <v>62147.635806809441</v>
      </c>
      <c r="H405" s="25">
        <f t="shared" ca="1" si="38"/>
        <v>-6694.9783121229339</v>
      </c>
      <c r="I405" s="25">
        <f t="shared" ca="1" si="39"/>
        <v>-862.92760597629263</v>
      </c>
      <c r="J405" s="25">
        <f ca="1">'Single Simulation'!$AP$7*Results!E405</f>
        <v>1800880.2056563355</v>
      </c>
      <c r="K405" s="28" t="str">
        <f t="shared" ca="1" si="43"/>
        <v>No</v>
      </c>
    </row>
    <row r="406" spans="2:11" ht="11.25" hidden="1">
      <c r="B406" s="27">
        <v>404</v>
      </c>
      <c r="C406" s="29">
        <f t="shared" ca="1" si="40"/>
        <v>3.8775910472678386E-2</v>
      </c>
      <c r="D406" s="29">
        <f t="shared" ca="1" si="41"/>
        <v>6.1879964806936097E-2</v>
      </c>
      <c r="E406" s="29">
        <f t="shared" ca="1" si="42"/>
        <v>5.384488174742888E-2</v>
      </c>
      <c r="F406" s="30">
        <f ca="1">'Single Simulation'!$AP$4*Results!C406</f>
        <v>73522.851031818893</v>
      </c>
      <c r="G406" s="30">
        <f ca="1">'Single Simulation'!$AP$5*Results!D406</f>
        <v>58529.089676201213</v>
      </c>
      <c r="H406" s="30">
        <f t="shared" ca="1" si="38"/>
        <v>14993.76135561768</v>
      </c>
      <c r="I406" s="30">
        <f t="shared" ca="1" si="39"/>
        <v>807.33730714240289</v>
      </c>
      <c r="J406" s="25">
        <f ca="1">'Single Simulation'!$AP$7*Results!E406</f>
        <v>752322.52282905544</v>
      </c>
      <c r="K406" s="28" t="str">
        <f t="shared" ca="1" si="43"/>
        <v>No</v>
      </c>
    </row>
    <row r="407" spans="2:11" ht="11.25" hidden="1">
      <c r="B407" s="27">
        <v>405</v>
      </c>
      <c r="C407" s="24">
        <f t="shared" ca="1" si="40"/>
        <v>2.747615553806592E-2</v>
      </c>
      <c r="D407" s="24">
        <f t="shared" ca="1" si="41"/>
        <v>6.3430880481295526E-2</v>
      </c>
      <c r="E407" s="24">
        <f t="shared" ca="1" si="42"/>
        <v>6.179254866793249E-2</v>
      </c>
      <c r="F407" s="25">
        <f ca="1">'Single Simulation'!$AP$4*Results!C407</f>
        <v>52097.430232507169</v>
      </c>
      <c r="G407" s="25">
        <f ca="1">'Single Simulation'!$AP$5*Results!D407</f>
        <v>59996.021386133834</v>
      </c>
      <c r="H407" s="25">
        <f t="shared" ca="1" si="38"/>
        <v>-7898.5911536266649</v>
      </c>
      <c r="I407" s="25">
        <f t="shared" ca="1" si="39"/>
        <v>-488.07407826857673</v>
      </c>
      <c r="J407" s="25">
        <f ca="1">'Single Simulation'!$AP$7*Results!E407</f>
        <v>863367.59590183303</v>
      </c>
      <c r="K407" s="28" t="str">
        <f t="shared" ca="1" si="43"/>
        <v>No</v>
      </c>
    </row>
    <row r="408" spans="2:11" ht="11.25" hidden="1">
      <c r="B408" s="27">
        <v>406</v>
      </c>
      <c r="C408" s="29">
        <f t="shared" ca="1" si="40"/>
        <v>4.7590667434889336E-2</v>
      </c>
      <c r="D408" s="29">
        <f t="shared" ca="1" si="41"/>
        <v>5.8173650486709569E-2</v>
      </c>
      <c r="E408" s="29">
        <f t="shared" ca="1" si="42"/>
        <v>5.5377826926245953E-2</v>
      </c>
      <c r="F408" s="30">
        <f ca="1">'Single Simulation'!$AP$4*Results!C408</f>
        <v>90236.47696900912</v>
      </c>
      <c r="G408" s="30">
        <f ca="1">'Single Simulation'!$AP$5*Results!D408</f>
        <v>55023.476770739253</v>
      </c>
      <c r="H408" s="30">
        <f t="shared" ca="1" si="38"/>
        <v>35213.000198269867</v>
      </c>
      <c r="I408" s="30">
        <f t="shared" ca="1" si="39"/>
        <v>1950.0194305336531</v>
      </c>
      <c r="J408" s="25">
        <f ca="1">'Single Simulation'!$AP$7*Results!E408</f>
        <v>773740.88511084032</v>
      </c>
      <c r="K408" s="28" t="str">
        <f t="shared" ca="1" si="43"/>
        <v>No</v>
      </c>
    </row>
    <row r="409" spans="2:11" ht="11.25" hidden="1">
      <c r="B409" s="27">
        <v>407</v>
      </c>
      <c r="C409" s="24">
        <f t="shared" ca="1" si="40"/>
        <v>2.8720425581513512E-2</v>
      </c>
      <c r="D409" s="24">
        <f t="shared" ca="1" si="41"/>
        <v>4.9694378043076408E-2</v>
      </c>
      <c r="E409" s="24">
        <f t="shared" ca="1" si="42"/>
        <v>4.3041482485915786E-2</v>
      </c>
      <c r="F409" s="25">
        <f ca="1">'Single Simulation'!$AP$4*Results!C409</f>
        <v>54456.685758233914</v>
      </c>
      <c r="G409" s="25">
        <f ca="1">'Single Simulation'!$AP$5*Results!D409</f>
        <v>47003.367212003388</v>
      </c>
      <c r="H409" s="25">
        <f t="shared" ca="1" si="38"/>
        <v>7453.3185462305264</v>
      </c>
      <c r="I409" s="25">
        <f t="shared" ca="1" si="39"/>
        <v>320.80187966953252</v>
      </c>
      <c r="J409" s="25">
        <f ca="1">'Single Simulation'!$AP$7*Results!E409</f>
        <v>601377.06016325275</v>
      </c>
      <c r="K409" s="28" t="str">
        <f t="shared" ca="1" si="43"/>
        <v>No</v>
      </c>
    </row>
    <row r="410" spans="2:11" ht="11.25" hidden="1">
      <c r="B410" s="27">
        <v>408</v>
      </c>
      <c r="C410" s="29">
        <f t="shared" ca="1" si="40"/>
        <v>7.0931018683410993E-2</v>
      </c>
      <c r="D410" s="29">
        <f t="shared" ca="1" si="41"/>
        <v>5.4263565148426819E-2</v>
      </c>
      <c r="E410" s="29">
        <f t="shared" ca="1" si="42"/>
        <v>5.7995289291166867E-2</v>
      </c>
      <c r="F410" s="30">
        <f ca="1">'Single Simulation'!$AP$4*Results!C410</f>
        <v>134492.02498726954</v>
      </c>
      <c r="G410" s="30">
        <f ca="1">'Single Simulation'!$AP$5*Results!D410</f>
        <v>51325.127294944163</v>
      </c>
      <c r="H410" s="30">
        <f t="shared" ca="1" si="38"/>
        <v>83166.897692325379</v>
      </c>
      <c r="I410" s="30">
        <f t="shared" ca="1" si="39"/>
        <v>4823.2882911152883</v>
      </c>
      <c r="J410" s="25">
        <f ca="1">'Single Simulation'!$AP$7*Results!E410</f>
        <v>810312.15847762488</v>
      </c>
      <c r="K410" s="28" t="str">
        <f t="shared" ca="1" si="43"/>
        <v>No</v>
      </c>
    </row>
    <row r="411" spans="2:11" ht="11.25" hidden="1">
      <c r="B411" s="27">
        <v>409</v>
      </c>
      <c r="C411" s="24">
        <f t="shared" ca="1" si="40"/>
        <v>7.1926938808446694E-2</v>
      </c>
      <c r="D411" s="24">
        <f t="shared" ca="1" si="41"/>
        <v>4.5162222361918698E-2</v>
      </c>
      <c r="E411" s="24">
        <f t="shared" ca="1" si="42"/>
        <v>0.14969587816443145</v>
      </c>
      <c r="F411" s="25">
        <f ca="1">'Single Simulation'!$AP$4*Results!C411</f>
        <v>136380.38521143975</v>
      </c>
      <c r="G411" s="25">
        <f ca="1">'Single Simulation'!$AP$5*Results!D411</f>
        <v>42716.6332567305</v>
      </c>
      <c r="H411" s="25">
        <f t="shared" ca="1" si="38"/>
        <v>93663.751954709238</v>
      </c>
      <c r="I411" s="25">
        <f t="shared" ca="1" si="39"/>
        <v>14021.077601035682</v>
      </c>
      <c r="J411" s="25">
        <f ca="1">'Single Simulation'!$AP$7*Results!E411</f>
        <v>2091555.9114057042</v>
      </c>
      <c r="K411" s="28" t="str">
        <f t="shared" ca="1" si="43"/>
        <v>No</v>
      </c>
    </row>
    <row r="412" spans="2:11" ht="11.25" hidden="1">
      <c r="B412" s="27">
        <v>410</v>
      </c>
      <c r="C412" s="29">
        <f t="shared" ca="1" si="40"/>
        <v>4.6113435844262647E-2</v>
      </c>
      <c r="D412" s="29">
        <f t="shared" ca="1" si="41"/>
        <v>4.8014885526434584E-2</v>
      </c>
      <c r="E412" s="29">
        <f t="shared" ca="1" si="42"/>
        <v>4.8164151296764907E-2</v>
      </c>
      <c r="F412" s="30">
        <f ca="1">'Single Simulation'!$AP$4*Results!C412</f>
        <v>87435.503971774931</v>
      </c>
      <c r="G412" s="30">
        <f ca="1">'Single Simulation'!$AP$5*Results!D412</f>
        <v>45414.821251711895</v>
      </c>
      <c r="H412" s="30">
        <f t="shared" ca="1" si="38"/>
        <v>42020.682720063036</v>
      </c>
      <c r="I412" s="30">
        <f t="shared" ca="1" si="39"/>
        <v>2023.8905201224709</v>
      </c>
      <c r="J412" s="25">
        <f ca="1">'Single Simulation'!$AP$7*Results!E412</f>
        <v>672951.16337093152</v>
      </c>
      <c r="K412" s="28" t="str">
        <f t="shared" ca="1" si="43"/>
        <v>No</v>
      </c>
    </row>
    <row r="413" spans="2:11" ht="11.25" hidden="1">
      <c r="B413" s="27">
        <v>411</v>
      </c>
      <c r="C413" s="24">
        <f t="shared" ca="1" si="40"/>
        <v>6.3850387749038631E-2</v>
      </c>
      <c r="D413" s="24">
        <f t="shared" ca="1" si="41"/>
        <v>3.5014006235570744E-2</v>
      </c>
      <c r="E413" s="24">
        <f t="shared" ca="1" si="42"/>
        <v>5.1744105861657591E-2</v>
      </c>
      <c r="F413" s="25">
        <f ca="1">'Single Simulation'!$AP$4*Results!C413</f>
        <v>121066.46857729291</v>
      </c>
      <c r="G413" s="25">
        <f ca="1">'Single Simulation'!$AP$5*Results!D413</f>
        <v>33117.95533948137</v>
      </c>
      <c r="H413" s="25">
        <f t="shared" ca="1" si="38"/>
        <v>87948.513237811538</v>
      </c>
      <c r="I413" s="25">
        <f t="shared" ca="1" si="39"/>
        <v>4550.8171793527144</v>
      </c>
      <c r="J413" s="25">
        <f ca="1">'Single Simulation'!$AP$7*Results!E413</f>
        <v>722970.41055782058</v>
      </c>
      <c r="K413" s="28" t="str">
        <f t="shared" ca="1" si="43"/>
        <v>No</v>
      </c>
    </row>
    <row r="414" spans="2:11" ht="11.25" hidden="1">
      <c r="B414" s="27">
        <v>412</v>
      </c>
      <c r="C414" s="29">
        <f t="shared" ca="1" si="40"/>
        <v>7.0625869577919692E-2</v>
      </c>
      <c r="D414" s="29">
        <f t="shared" ca="1" si="41"/>
        <v>5.8959908505089614E-2</v>
      </c>
      <c r="E414" s="29">
        <f t="shared" ca="1" si="42"/>
        <v>0.17974260679867737</v>
      </c>
      <c r="F414" s="30">
        <f ca="1">'Single Simulation'!$AP$4*Results!C414</f>
        <v>133913.4329709367</v>
      </c>
      <c r="G414" s="30">
        <f ca="1">'Single Simulation'!$AP$5*Results!D414</f>
        <v>55767.157963997459</v>
      </c>
      <c r="H414" s="30">
        <f t="shared" ca="1" si="38"/>
        <v>78146.27500693925</v>
      </c>
      <c r="I414" s="30">
        <f t="shared" ca="1" si="39"/>
        <v>14046.215181353591</v>
      </c>
      <c r="J414" s="25">
        <f ca="1">'Single Simulation'!$AP$7*Results!E414</f>
        <v>2511369.8278872892</v>
      </c>
      <c r="K414" s="28" t="str">
        <f t="shared" ca="1" si="43"/>
        <v>No</v>
      </c>
    </row>
    <row r="415" spans="2:11" ht="11.25" hidden="1">
      <c r="B415" s="27">
        <v>413</v>
      </c>
      <c r="C415" s="24">
        <f t="shared" ca="1" si="40"/>
        <v>7.2994320784917452E-2</v>
      </c>
      <c r="D415" s="24">
        <f t="shared" ca="1" si="41"/>
        <v>5.7609068988616015E-2</v>
      </c>
      <c r="E415" s="24">
        <f t="shared" ca="1" si="42"/>
        <v>7.595523219788386E-2</v>
      </c>
      <c r="F415" s="25">
        <f ca="1">'Single Simulation'!$AP$4*Results!C415</f>
        <v>138404.24397048561</v>
      </c>
      <c r="G415" s="25">
        <f ca="1">'Single Simulation'!$AP$5*Results!D415</f>
        <v>54489.468045386231</v>
      </c>
      <c r="H415" s="25">
        <f t="shared" ca="1" si="38"/>
        <v>83914.775925099384</v>
      </c>
      <c r="I415" s="25">
        <f t="shared" ca="1" si="39"/>
        <v>6373.7662902243183</v>
      </c>
      <c r="J415" s="25">
        <f ca="1">'Single Simulation'!$AP$7*Results!E415</f>
        <v>1061249.0928519364</v>
      </c>
      <c r="K415" s="28" t="str">
        <f t="shared" ca="1" si="43"/>
        <v>No</v>
      </c>
    </row>
    <row r="416" spans="2:11" ht="11.25" hidden="1">
      <c r="B416" s="27">
        <v>414</v>
      </c>
      <c r="C416" s="29">
        <f t="shared" ca="1" si="40"/>
        <v>4.7746167487275171E-2</v>
      </c>
      <c r="D416" s="29">
        <f t="shared" ca="1" si="41"/>
        <v>7.8851484973349636E-2</v>
      </c>
      <c r="E416" s="29">
        <f t="shared" ca="1" si="42"/>
        <v>6.0331750624146689E-2</v>
      </c>
      <c r="F416" s="30">
        <f ca="1">'Single Simulation'!$AP$4*Results!C416</f>
        <v>90531.320005513946</v>
      </c>
      <c r="G416" s="30">
        <f ca="1">'Single Simulation'!$AP$5*Results!D416</f>
        <v>74581.581445720352</v>
      </c>
      <c r="H416" s="30">
        <f t="shared" ca="1" si="38"/>
        <v>15949.738559793594</v>
      </c>
      <c r="I416" s="30">
        <f t="shared" ca="1" si="39"/>
        <v>962.27564930980361</v>
      </c>
      <c r="J416" s="25">
        <f ca="1">'Single Simulation'!$AP$7*Results!E416</f>
        <v>842957.27584950684</v>
      </c>
      <c r="K416" s="28" t="str">
        <f t="shared" ca="1" si="43"/>
        <v>No</v>
      </c>
    </row>
    <row r="417" spans="2:11" ht="11.25" hidden="1">
      <c r="B417" s="27">
        <v>415</v>
      </c>
      <c r="C417" s="24">
        <f t="shared" ca="1" si="40"/>
        <v>3.7555232220410663E-2</v>
      </c>
      <c r="D417" s="24">
        <f t="shared" ca="1" si="41"/>
        <v>5.3630754989063043E-2</v>
      </c>
      <c r="E417" s="24">
        <f t="shared" ca="1" si="42"/>
        <v>3.9974423673423229E-2</v>
      </c>
      <c r="F417" s="25">
        <f ca="1">'Single Simulation'!$AP$4*Results!C417</f>
        <v>71208.327808373302</v>
      </c>
      <c r="G417" s="25">
        <f ca="1">'Single Simulation'!$AP$5*Results!D417</f>
        <v>50726.58457306365</v>
      </c>
      <c r="H417" s="25">
        <f t="shared" ca="1" si="38"/>
        <v>20481.743235309652</v>
      </c>
      <c r="I417" s="25">
        <f t="shared" ca="1" si="39"/>
        <v>818.74588165853822</v>
      </c>
      <c r="J417" s="25">
        <f ca="1">'Single Simulation'!$AP$7*Results!E417</f>
        <v>558524.00990857999</v>
      </c>
      <c r="K417" s="28" t="str">
        <f t="shared" ca="1" si="43"/>
        <v>No</v>
      </c>
    </row>
    <row r="418" spans="2:11" ht="11.25" hidden="1">
      <c r="B418" s="27">
        <v>416</v>
      </c>
      <c r="C418" s="29">
        <f t="shared" ca="1" si="40"/>
        <v>4.7564320494948992E-2</v>
      </c>
      <c r="D418" s="29">
        <f t="shared" ca="1" si="41"/>
        <v>3.2724004749643265E-2</v>
      </c>
      <c r="E418" s="29">
        <f t="shared" ca="1" si="42"/>
        <v>0.11083081685219232</v>
      </c>
      <c r="F418" s="30">
        <f ca="1">'Single Simulation'!$AP$4*Results!C418</f>
        <v>90186.520640021234</v>
      </c>
      <c r="G418" s="30">
        <f ca="1">'Single Simulation'!$AP$5*Results!D418</f>
        <v>30951.960210902049</v>
      </c>
      <c r="H418" s="30">
        <f t="shared" ca="1" si="38"/>
        <v>59234.560429119185</v>
      </c>
      <c r="I418" s="30">
        <f t="shared" ca="1" si="39"/>
        <v>6565.0147182398268</v>
      </c>
      <c r="J418" s="25">
        <f ca="1">'Single Simulation'!$AP$7*Results!E418</f>
        <v>1548531.9502150784</v>
      </c>
      <c r="K418" s="28" t="str">
        <f t="shared" ca="1" si="43"/>
        <v>No</v>
      </c>
    </row>
    <row r="419" spans="2:11" ht="11.25" hidden="1">
      <c r="B419" s="27">
        <v>417</v>
      </c>
      <c r="C419" s="24">
        <f t="shared" ca="1" si="40"/>
        <v>6.9279956506542936E-2</v>
      </c>
      <c r="D419" s="24">
        <f t="shared" ca="1" si="41"/>
        <v>0.08</v>
      </c>
      <c r="E419" s="24">
        <f t="shared" ca="1" si="42"/>
        <v>5.3103188636706114E-2</v>
      </c>
      <c r="F419" s="25">
        <f ca="1">'Single Simulation'!$AP$4*Results!C419</f>
        <v>131361.45250052749</v>
      </c>
      <c r="G419" s="25">
        <f ca="1">'Single Simulation'!$AP$5*Results!D419</f>
        <v>75667.90299097354</v>
      </c>
      <c r="H419" s="25">
        <f t="shared" ca="1" si="38"/>
        <v>55693.549509553952</v>
      </c>
      <c r="I419" s="25">
        <f t="shared" ca="1" si="39"/>
        <v>2957.5050654535748</v>
      </c>
      <c r="J419" s="25">
        <f ca="1">'Single Simulation'!$AP$7*Results!E419</f>
        <v>741959.56140885467</v>
      </c>
      <c r="K419" s="28" t="str">
        <f t="shared" ca="1" si="43"/>
        <v>No</v>
      </c>
    </row>
    <row r="420" spans="2:11" ht="11.25" hidden="1">
      <c r="B420" s="27">
        <v>418</v>
      </c>
      <c r="C420" s="29">
        <f t="shared" ca="1" si="40"/>
        <v>2.5686121464677629E-2</v>
      </c>
      <c r="D420" s="29">
        <f t="shared" ca="1" si="41"/>
        <v>4.317945515072507E-2</v>
      </c>
      <c r="E420" s="29">
        <f t="shared" ca="1" si="42"/>
        <v>-1.7352939968368924E-2</v>
      </c>
      <c r="F420" s="30">
        <f ca="1">'Single Simulation'!$AP$4*Results!C420</f>
        <v>48703.353680459761</v>
      </c>
      <c r="G420" s="30">
        <f ca="1">'Single Simulation'!$AP$5*Results!D420</f>
        <v>40841.235294351965</v>
      </c>
      <c r="H420" s="30">
        <f t="shared" ca="1" si="38"/>
        <v>7862.1183861077952</v>
      </c>
      <c r="I420" s="30">
        <f t="shared" ca="1" si="39"/>
        <v>-136.43086837833815</v>
      </c>
      <c r="J420" s="25">
        <f ca="1">'Single Simulation'!$AP$7*Results!E420</f>
        <v>-242455.86863282215</v>
      </c>
      <c r="K420" s="28" t="str">
        <f t="shared" ca="1" si="43"/>
        <v>No</v>
      </c>
    </row>
    <row r="421" spans="2:11" ht="11.25" hidden="1">
      <c r="B421" s="27">
        <v>419</v>
      </c>
      <c r="C421" s="24">
        <f t="shared" ca="1" si="40"/>
        <v>7.5830443695787592E-2</v>
      </c>
      <c r="D421" s="24">
        <f t="shared" ca="1" si="41"/>
        <v>2.1557046860553434E-2</v>
      </c>
      <c r="E421" s="24">
        <f t="shared" ca="1" si="42"/>
        <v>9.4897191020781022E-2</v>
      </c>
      <c r="F421" s="25">
        <f ca="1">'Single Simulation'!$AP$4*Results!C421</f>
        <v>143781.80544465801</v>
      </c>
      <c r="G421" s="25">
        <f ca="1">'Single Simulation'!$AP$5*Results!D421</f>
        <v>20389.706632702848</v>
      </c>
      <c r="H421" s="25">
        <f t="shared" ca="1" si="38"/>
        <v>123392.09881195516</v>
      </c>
      <c r="I421" s="25">
        <f t="shared" ca="1" si="39"/>
        <v>11709.563571413197</v>
      </c>
      <c r="J421" s="25">
        <f ca="1">'Single Simulation'!$AP$7*Results!E421</f>
        <v>1325906.787074592</v>
      </c>
      <c r="K421" s="28" t="str">
        <f t="shared" ca="1" si="43"/>
        <v>No</v>
      </c>
    </row>
    <row r="422" spans="2:11" ht="11.25" hidden="1">
      <c r="B422" s="27">
        <v>420</v>
      </c>
      <c r="C422" s="29">
        <f t="shared" ca="1" si="40"/>
        <v>6.7953749227140536E-2</v>
      </c>
      <c r="D422" s="29">
        <f t="shared" ca="1" si="41"/>
        <v>6.7239300569520558E-2</v>
      </c>
      <c r="E422" s="29">
        <f t="shared" ca="1" si="42"/>
        <v>3.545193493856412E-2</v>
      </c>
      <c r="F422" s="30">
        <f ca="1">'Single Simulation'!$AP$4*Results!C422</f>
        <v>128846.83610462055</v>
      </c>
      <c r="G422" s="30">
        <f ca="1">'Single Simulation'!$AP$5*Results!D422</f>
        <v>63598.210908442416</v>
      </c>
      <c r="H422" s="30">
        <f t="shared" ca="1" si="38"/>
        <v>65248.625196178138</v>
      </c>
      <c r="I422" s="30">
        <f t="shared" ca="1" si="39"/>
        <v>2313.1900152856629</v>
      </c>
      <c r="J422" s="25">
        <f ca="1">'Single Simulation'!$AP$7*Results!E422</f>
        <v>495335.64317699819</v>
      </c>
      <c r="K422" s="28" t="str">
        <f t="shared" ca="1" si="43"/>
        <v>No</v>
      </c>
    </row>
    <row r="423" spans="2:11" ht="11.25" hidden="1">
      <c r="B423" s="27">
        <v>421</v>
      </c>
      <c r="C423" s="24">
        <f t="shared" ca="1" si="40"/>
        <v>9.4863099546293739E-2</v>
      </c>
      <c r="D423" s="24">
        <f t="shared" ca="1" si="41"/>
        <v>5.802372057456244E-2</v>
      </c>
      <c r="E423" s="24">
        <f t="shared" ca="1" si="42"/>
        <v>5.324899344461774E-2</v>
      </c>
      <c r="F423" s="25">
        <f ca="1">'Single Simulation'!$AP$4*Results!C423</f>
        <v>179869.54919532029</v>
      </c>
      <c r="G423" s="25">
        <f ca="1">'Single Simulation'!$AP$5*Results!D423</f>
        <v>54881.665745141821</v>
      </c>
      <c r="H423" s="25">
        <f t="shared" ca="1" si="38"/>
        <v>124987.88345017846</v>
      </c>
      <c r="I423" s="25">
        <f t="shared" ca="1" si="39"/>
        <v>6655.478986495199</v>
      </c>
      <c r="J423" s="25">
        <f ca="1">'Single Simulation'!$AP$7*Results!E423</f>
        <v>743996.75115407899</v>
      </c>
      <c r="K423" s="28" t="str">
        <f t="shared" ca="1" si="43"/>
        <v>No</v>
      </c>
    </row>
    <row r="424" spans="2:11" ht="11.25" hidden="1">
      <c r="B424" s="27">
        <v>422</v>
      </c>
      <c r="C424" s="29">
        <f t="shared" ca="1" si="40"/>
        <v>7.3697341920025999E-2</v>
      </c>
      <c r="D424" s="29">
        <f t="shared" ca="1" si="41"/>
        <v>6.778066855825518E-2</v>
      </c>
      <c r="E424" s="29">
        <f t="shared" ca="1" si="42"/>
        <v>0.13363728868821398</v>
      </c>
      <c r="F424" s="30">
        <f ca="1">'Single Simulation'!$AP$4*Results!C424</f>
        <v>139737.23957416654</v>
      </c>
      <c r="G424" s="30">
        <f ca="1">'Single Simulation'!$AP$5*Results!D424</f>
        <v>64110.263164117292</v>
      </c>
      <c r="H424" s="30">
        <f t="shared" ca="1" si="38"/>
        <v>75626.976410049247</v>
      </c>
      <c r="I424" s="30">
        <f t="shared" ca="1" si="39"/>
        <v>10106.5840791265</v>
      </c>
      <c r="J424" s="25">
        <f ca="1">'Single Simulation'!$AP$7*Results!E424</f>
        <v>1867184.7519611777</v>
      </c>
      <c r="K424" s="28" t="str">
        <f t="shared" ca="1" si="43"/>
        <v>No</v>
      </c>
    </row>
    <row r="425" spans="2:11" ht="11.25" hidden="1">
      <c r="B425" s="27">
        <v>423</v>
      </c>
      <c r="C425" s="24">
        <f t="shared" ca="1" si="40"/>
        <v>0.10679125094695188</v>
      </c>
      <c r="D425" s="24">
        <f t="shared" ca="1" si="41"/>
        <v>5.8158484002468105E-2</v>
      </c>
      <c r="E425" s="24">
        <f t="shared" ca="1" si="42"/>
        <v>2.5956304662049935E-2</v>
      </c>
      <c r="F425" s="25">
        <f ca="1">'Single Simulation'!$AP$4*Results!C425</f>
        <v>202486.47005739782</v>
      </c>
      <c r="G425" s="25">
        <f ca="1">'Single Simulation'!$AP$5*Results!D425</f>
        <v>55009.131570010533</v>
      </c>
      <c r="H425" s="25">
        <f t="shared" ca="1" si="38"/>
        <v>147477.33848738729</v>
      </c>
      <c r="I425" s="25">
        <f t="shared" ca="1" si="39"/>
        <v>3827.966728526887</v>
      </c>
      <c r="J425" s="25">
        <f ca="1">'Single Simulation'!$AP$7*Results!E425</f>
        <v>362662.37333886296</v>
      </c>
      <c r="K425" s="28" t="str">
        <f t="shared" ca="1" si="43"/>
        <v>No</v>
      </c>
    </row>
    <row r="426" spans="2:11" ht="11.25" hidden="1">
      <c r="B426" s="27">
        <v>424</v>
      </c>
      <c r="C426" s="29">
        <f t="shared" ca="1" si="40"/>
        <v>5.5410056486454189E-2</v>
      </c>
      <c r="D426" s="29">
        <f t="shared" ca="1" si="41"/>
        <v>6.7683472848570778E-2</v>
      </c>
      <c r="E426" s="29">
        <f t="shared" ca="1" si="42"/>
        <v>8.1814138081066842E-3</v>
      </c>
      <c r="F426" s="30">
        <f ca="1">'Single Simulation'!$AP$4*Results!C426</f>
        <v>105062.78973355703</v>
      </c>
      <c r="G426" s="30">
        <f ca="1">'Single Simulation'!$AP$5*Results!D426</f>
        <v>64018.330719973063</v>
      </c>
      <c r="H426" s="30">
        <f t="shared" ca="1" si="38"/>
        <v>41044.459013583968</v>
      </c>
      <c r="I426" s="30">
        <f t="shared" ca="1" si="39"/>
        <v>335.80170372000475</v>
      </c>
      <c r="J426" s="25">
        <f ca="1">'Single Simulation'!$AP$7*Results!E426</f>
        <v>114310.99255255023</v>
      </c>
      <c r="K426" s="28" t="str">
        <f t="shared" ca="1" si="43"/>
        <v>No</v>
      </c>
    </row>
    <row r="427" spans="2:11" ht="11.25" hidden="1">
      <c r="B427" s="27">
        <v>425</v>
      </c>
      <c r="C427" s="24">
        <f t="shared" ca="1" si="40"/>
        <v>4.4102892962553999E-2</v>
      </c>
      <c r="D427" s="24">
        <f t="shared" ca="1" si="41"/>
        <v>4.5705196481625472E-2</v>
      </c>
      <c r="E427" s="24">
        <f t="shared" ca="1" si="42"/>
        <v>8.4560586813333088E-2</v>
      </c>
      <c r="F427" s="25">
        <f ca="1">'Single Simulation'!$AP$4*Results!C427</f>
        <v>83623.321537294018</v>
      </c>
      <c r="G427" s="25">
        <f ca="1">'Single Simulation'!$AP$5*Results!D427</f>
        <v>43230.204669437764</v>
      </c>
      <c r="H427" s="25">
        <f t="shared" ca="1" si="38"/>
        <v>40393.116867856254</v>
      </c>
      <c r="I427" s="25">
        <f t="shared" ca="1" si="39"/>
        <v>3415.6656655654679</v>
      </c>
      <c r="J427" s="25">
        <f ca="1">'Single Simulation'!$AP$7*Results!E427</f>
        <v>1181483.4008127402</v>
      </c>
      <c r="K427" s="28" t="str">
        <f t="shared" ca="1" si="43"/>
        <v>No</v>
      </c>
    </row>
    <row r="428" spans="2:11" ht="11.25" hidden="1">
      <c r="B428" s="27">
        <v>426</v>
      </c>
      <c r="C428" s="29">
        <f t="shared" ca="1" si="40"/>
        <v>4.7460907711857139E-2</v>
      </c>
      <c r="D428" s="29">
        <f t="shared" ca="1" si="41"/>
        <v>4.6794727754806496E-2</v>
      </c>
      <c r="E428" s="29">
        <f t="shared" ca="1" si="42"/>
        <v>5.418944521506433E-2</v>
      </c>
      <c r="F428" s="30">
        <f ca="1">'Single Simulation'!$AP$4*Results!C428</f>
        <v>89990.440069549382</v>
      </c>
      <c r="G428" s="30">
        <f ca="1">'Single Simulation'!$AP$5*Results!D428</f>
        <v>44260.736502996435</v>
      </c>
      <c r="H428" s="30">
        <f t="shared" ca="1" si="38"/>
        <v>45729.703566552947</v>
      </c>
      <c r="I428" s="30">
        <f t="shared" ca="1" si="39"/>
        <v>2478.0672661208528</v>
      </c>
      <c r="J428" s="25">
        <f ca="1">'Single Simulation'!$AP$7*Results!E428</f>
        <v>757136.77534171159</v>
      </c>
      <c r="K428" s="28" t="str">
        <f t="shared" ca="1" si="43"/>
        <v>No</v>
      </c>
    </row>
    <row r="429" spans="2:11" ht="11.25" hidden="1">
      <c r="B429" s="27">
        <v>427</v>
      </c>
      <c r="C429" s="24">
        <f t="shared" ca="1" si="40"/>
        <v>4.2789115356602569E-2</v>
      </c>
      <c r="D429" s="24">
        <f t="shared" ca="1" si="41"/>
        <v>2.9964713544933668E-2</v>
      </c>
      <c r="E429" s="24">
        <f t="shared" ca="1" si="42"/>
        <v>-1.0360227379600698E-2</v>
      </c>
      <c r="F429" s="25">
        <f ca="1">'Single Simulation'!$AP$4*Results!C429</f>
        <v>81132.272996232263</v>
      </c>
      <c r="G429" s="25">
        <f ca="1">'Single Simulation'!$AP$5*Results!D429</f>
        <v>28342.087970879395</v>
      </c>
      <c r="H429" s="25">
        <f t="shared" ca="1" si="38"/>
        <v>52790.185025352868</v>
      </c>
      <c r="I429" s="25">
        <f t="shared" ca="1" si="39"/>
        <v>-546.91832027384748</v>
      </c>
      <c r="J429" s="25">
        <f ca="1">'Single Simulation'!$AP$7*Results!E429</f>
        <v>-144753.45002825695</v>
      </c>
      <c r="K429" s="28" t="str">
        <f t="shared" ca="1" si="43"/>
        <v>No</v>
      </c>
    </row>
    <row r="430" spans="2:11" ht="11.25" hidden="1">
      <c r="B430" s="27">
        <v>428</v>
      </c>
      <c r="C430" s="29">
        <f t="shared" ca="1" si="40"/>
        <v>3.642601347986435E-2</v>
      </c>
      <c r="D430" s="29">
        <f t="shared" ca="1" si="41"/>
        <v>5.7691591854737712E-2</v>
      </c>
      <c r="E430" s="29">
        <f t="shared" ca="1" si="42"/>
        <v>0.1123029491599043</v>
      </c>
      <c r="F430" s="30">
        <f ca="1">'Single Simulation'!$AP$4*Results!C430</f>
        <v>69067.220604661779</v>
      </c>
      <c r="G430" s="30">
        <f ca="1">'Single Simulation'!$AP$5*Results!D430</f>
        <v>54567.522198239152</v>
      </c>
      <c r="H430" s="30">
        <f t="shared" ca="1" si="38"/>
        <v>14499.698406422627</v>
      </c>
      <c r="I430" s="30">
        <f t="shared" ca="1" si="39"/>
        <v>1628.3588929704256</v>
      </c>
      <c r="J430" s="25">
        <f ca="1">'Single Simulation'!$AP$7*Results!E430</f>
        <v>1569100.6329892571</v>
      </c>
      <c r="K430" s="28" t="str">
        <f t="shared" ca="1" si="43"/>
        <v>No</v>
      </c>
    </row>
    <row r="431" spans="2:11" ht="11.25" hidden="1">
      <c r="B431" s="27">
        <v>429</v>
      </c>
      <c r="C431" s="24">
        <f t="shared" ca="1" si="40"/>
        <v>6.3384818264635684E-2</v>
      </c>
      <c r="D431" s="24">
        <f t="shared" ca="1" si="41"/>
        <v>5.0699157462662507E-2</v>
      </c>
      <c r="E431" s="24">
        <f t="shared" ca="1" si="42"/>
        <v>2.7747620864918145E-2</v>
      </c>
      <c r="F431" s="25">
        <f ca="1">'Single Simulation'!$AP$4*Results!C431</f>
        <v>120183.70411272059</v>
      </c>
      <c r="G431" s="25">
        <f ca="1">'Single Simulation'!$AP$5*Results!D431</f>
        <v>47953.736607610481</v>
      </c>
      <c r="H431" s="25">
        <f t="shared" ca="1" si="38"/>
        <v>72229.967505110108</v>
      </c>
      <c r="I431" s="25">
        <f t="shared" ca="1" si="39"/>
        <v>2004.2097534171528</v>
      </c>
      <c r="J431" s="25">
        <f ca="1">'Single Simulation'!$AP$7*Results!E431</f>
        <v>387690.70437407278</v>
      </c>
      <c r="K431" s="28" t="str">
        <f t="shared" ca="1" si="43"/>
        <v>No</v>
      </c>
    </row>
    <row r="432" spans="2:11" ht="11.25" hidden="1">
      <c r="B432" s="27">
        <v>430</v>
      </c>
      <c r="C432" s="29">
        <f t="shared" ca="1" si="40"/>
        <v>9.6866154800550094E-2</v>
      </c>
      <c r="D432" s="29">
        <f t="shared" ca="1" si="41"/>
        <v>4.467255058299871E-2</v>
      </c>
      <c r="E432" s="29">
        <f t="shared" ca="1" si="42"/>
        <v>9.1747417458134778E-2</v>
      </c>
      <c r="F432" s="30">
        <f ca="1">'Single Simulation'!$AP$4*Results!C432</f>
        <v>183667.53436889756</v>
      </c>
      <c r="G432" s="30">
        <f ca="1">'Single Simulation'!$AP$5*Results!D432</f>
        <v>42253.477798421307</v>
      </c>
      <c r="H432" s="30">
        <f t="shared" ca="1" si="38"/>
        <v>141414.05657047624</v>
      </c>
      <c r="I432" s="30">
        <f t="shared" ca="1" si="39"/>
        <v>12974.374482619771</v>
      </c>
      <c r="J432" s="25">
        <f ca="1">'Single Simulation'!$AP$7*Results!E432</f>
        <v>1281898.0435118219</v>
      </c>
      <c r="K432" s="28" t="str">
        <f t="shared" ca="1" si="43"/>
        <v>No</v>
      </c>
    </row>
    <row r="433" spans="2:11" ht="11.25" hidden="1">
      <c r="B433" s="27">
        <v>431</v>
      </c>
      <c r="C433" s="24">
        <f t="shared" ca="1" si="40"/>
        <v>8.1289394339248991E-2</v>
      </c>
      <c r="D433" s="24">
        <f t="shared" ca="1" si="41"/>
        <v>5.4588417535838971E-2</v>
      </c>
      <c r="E433" s="24">
        <f t="shared" ca="1" si="42"/>
        <v>7.1758722823625901E-2</v>
      </c>
      <c r="F433" s="25">
        <f ca="1">'Single Simulation'!$AP$4*Results!C433</f>
        <v>154132.50024606215</v>
      </c>
      <c r="G433" s="25">
        <f ca="1">'Single Simulation'!$AP$5*Results!D433</f>
        <v>51632.388531657773</v>
      </c>
      <c r="H433" s="25">
        <f t="shared" ca="1" si="38"/>
        <v>102500.11171440437</v>
      </c>
      <c r="I433" s="25">
        <f t="shared" ca="1" si="39"/>
        <v>7355.2771059046336</v>
      </c>
      <c r="J433" s="25">
        <f ca="1">'Single Simulation'!$AP$7*Results!E433</f>
        <v>1002615.3208561741</v>
      </c>
      <c r="K433" s="28" t="str">
        <f t="shared" ca="1" si="43"/>
        <v>No</v>
      </c>
    </row>
    <row r="434" spans="2:11" ht="11.25" hidden="1">
      <c r="B434" s="27">
        <v>432</v>
      </c>
      <c r="C434" s="29">
        <f t="shared" ca="1" si="40"/>
        <v>5.2450310518418343E-2</v>
      </c>
      <c r="D434" s="29">
        <f t="shared" ca="1" si="41"/>
        <v>5.015792346590877E-2</v>
      </c>
      <c r="E434" s="29">
        <f t="shared" ca="1" si="42"/>
        <v>9.0175470491906884E-2</v>
      </c>
      <c r="F434" s="30">
        <f ca="1">'Single Simulation'!$AP$4*Results!C434</f>
        <v>99450.827067889797</v>
      </c>
      <c r="G434" s="30">
        <f ca="1">'Single Simulation'!$AP$5*Results!D434</f>
        <v>47441.811088088252</v>
      </c>
      <c r="H434" s="30">
        <f t="shared" ca="1" si="38"/>
        <v>52009.015979801545</v>
      </c>
      <c r="I434" s="30">
        <f t="shared" ca="1" si="39"/>
        <v>4689.9374857997082</v>
      </c>
      <c r="J434" s="25">
        <f ca="1">'Single Simulation'!$AP$7*Results!E434</f>
        <v>1259934.7469271373</v>
      </c>
      <c r="K434" s="28" t="str">
        <f t="shared" ca="1" si="43"/>
        <v>No</v>
      </c>
    </row>
    <row r="435" spans="2:11" ht="11.25" hidden="1">
      <c r="B435" s="27">
        <v>433</v>
      </c>
      <c r="C435" s="24">
        <f t="shared" ca="1" si="40"/>
        <v>6.8818884264611579E-2</v>
      </c>
      <c r="D435" s="24">
        <f t="shared" ca="1" si="41"/>
        <v>4.556195681071401E-2</v>
      </c>
      <c r="E435" s="24">
        <f t="shared" ca="1" si="42"/>
        <v>8.7605163293129965E-2</v>
      </c>
      <c r="F435" s="25">
        <f ca="1">'Single Simulation'!$AP$4*Results!C435</f>
        <v>130487.21523968196</v>
      </c>
      <c r="G435" s="25">
        <f ca="1">'Single Simulation'!$AP$5*Results!D435</f>
        <v>43094.721600400422</v>
      </c>
      <c r="H435" s="25">
        <f t="shared" ref="H435:H498" ca="1" si="44">F435-G435</f>
        <v>87392.493639281543</v>
      </c>
      <c r="I435" s="25">
        <f t="shared" ref="I435:I498" ca="1" si="45">H435*E435</f>
        <v>7656.033675863081</v>
      </c>
      <c r="J435" s="25">
        <f ca="1">'Single Simulation'!$AP$7*Results!E435</f>
        <v>1224022.3271487826</v>
      </c>
      <c r="K435" s="28" t="str">
        <f t="shared" ca="1" si="43"/>
        <v>No</v>
      </c>
    </row>
    <row r="436" spans="2:11" ht="11.25" hidden="1">
      <c r="B436" s="27">
        <v>434</v>
      </c>
      <c r="C436" s="29">
        <f t="shared" ca="1" si="40"/>
        <v>5.1785457053989972E-2</v>
      </c>
      <c r="D436" s="29">
        <f t="shared" ca="1" si="41"/>
        <v>2.8625329481606863E-2</v>
      </c>
      <c r="E436" s="29">
        <f t="shared" ca="1" si="42"/>
        <v>0.15856182268214475</v>
      </c>
      <c r="F436" s="30">
        <f ca="1">'Single Simulation'!$AP$4*Results!C436</f>
        <v>98190.201034167185</v>
      </c>
      <c r="G436" s="30">
        <f ca="1">'Single Simulation'!$AP$5*Results!D436</f>
        <v>27075.233178736038</v>
      </c>
      <c r="H436" s="30">
        <f t="shared" ca="1" si="44"/>
        <v>71114.967855431139</v>
      </c>
      <c r="I436" s="30">
        <f t="shared" ca="1" si="45"/>
        <v>11276.118923139296</v>
      </c>
      <c r="J436" s="25">
        <f ca="1">'Single Simulation'!$AP$7*Results!E436</f>
        <v>2215431.1903619445</v>
      </c>
      <c r="K436" s="28" t="str">
        <f t="shared" ca="1" si="43"/>
        <v>No</v>
      </c>
    </row>
    <row r="437" spans="2:11" ht="11.25" hidden="1">
      <c r="B437" s="27">
        <v>435</v>
      </c>
      <c r="C437" s="24">
        <f t="shared" ca="1" si="40"/>
        <v>6.8460529784290763E-2</v>
      </c>
      <c r="D437" s="24">
        <f t="shared" ca="1" si="41"/>
        <v>2.3998865748580057E-2</v>
      </c>
      <c r="E437" s="24">
        <f t="shared" ca="1" si="42"/>
        <v>8.1709282937438357E-2</v>
      </c>
      <c r="F437" s="25">
        <f ca="1">'Single Simulation'!$AP$4*Results!C437</f>
        <v>129807.74072181662</v>
      </c>
      <c r="G437" s="25">
        <f ca="1">'Single Simulation'!$AP$5*Results!D437</f>
        <v>22699.298066961914</v>
      </c>
      <c r="H437" s="25">
        <f t="shared" ca="1" si="44"/>
        <v>107108.44265485471</v>
      </c>
      <c r="I437" s="25">
        <f t="shared" ca="1" si="45"/>
        <v>8751.7540458739149</v>
      </c>
      <c r="J437" s="25">
        <f ca="1">'Single Simulation'!$AP$7*Results!E437</f>
        <v>1141644.8858852221</v>
      </c>
      <c r="K437" s="28" t="str">
        <f t="shared" ca="1" si="43"/>
        <v>No</v>
      </c>
    </row>
    <row r="438" spans="2:11" ht="11.25" hidden="1">
      <c r="B438" s="27">
        <v>436</v>
      </c>
      <c r="C438" s="29">
        <f t="shared" ca="1" si="40"/>
        <v>4.3278710861409372E-2</v>
      </c>
      <c r="D438" s="29">
        <f t="shared" ca="1" si="41"/>
        <v>6.0826608499044262E-2</v>
      </c>
      <c r="E438" s="29">
        <f t="shared" ca="1" si="42"/>
        <v>0.13479141726405627</v>
      </c>
      <c r="F438" s="30">
        <f ca="1">'Single Simulation'!$AP$4*Results!C438</f>
        <v>82060.593103406078</v>
      </c>
      <c r="G438" s="30">
        <f ca="1">'Single Simulation'!$AP$5*Results!D438</f>
        <v>57532.773889695098</v>
      </c>
      <c r="H438" s="30">
        <f t="shared" ca="1" si="44"/>
        <v>24527.81921371098</v>
      </c>
      <c r="I438" s="30">
        <f t="shared" ca="1" si="45"/>
        <v>3306.1395142126535</v>
      </c>
      <c r="J438" s="25">
        <f ca="1">'Single Simulation'!$AP$7*Results!E438</f>
        <v>1883310.2757559856</v>
      </c>
      <c r="K438" s="28" t="str">
        <f t="shared" ca="1" si="43"/>
        <v>No</v>
      </c>
    </row>
    <row r="439" spans="2:11" ht="11.25" hidden="1">
      <c r="B439" s="27">
        <v>437</v>
      </c>
      <c r="C439" s="24">
        <f t="shared" ca="1" si="40"/>
        <v>7.5447450968816887E-2</v>
      </c>
      <c r="D439" s="24">
        <f t="shared" ca="1" si="41"/>
        <v>3.9159037193821966E-2</v>
      </c>
      <c r="E439" s="24">
        <f t="shared" ca="1" si="42"/>
        <v>5.8592072833368702E-2</v>
      </c>
      <c r="F439" s="25">
        <f ca="1">'Single Simulation'!$AP$4*Results!C439</f>
        <v>143055.6144444189</v>
      </c>
      <c r="G439" s="25">
        <f ca="1">'Single Simulation'!$AP$5*Results!D439</f>
        <v>37038.527845025565</v>
      </c>
      <c r="H439" s="25">
        <f t="shared" ca="1" si="44"/>
        <v>106017.08659939334</v>
      </c>
      <c r="I439" s="25">
        <f t="shared" ca="1" si="45"/>
        <v>6211.7608596132113</v>
      </c>
      <c r="J439" s="25">
        <f ca="1">'Single Simulation'!$AP$7*Results!E439</f>
        <v>818650.43846787827</v>
      </c>
      <c r="K439" s="28" t="str">
        <f t="shared" ca="1" si="43"/>
        <v>No</v>
      </c>
    </row>
    <row r="440" spans="2:11" ht="11.25" hidden="1">
      <c r="B440" s="27">
        <v>438</v>
      </c>
      <c r="C440" s="29">
        <f t="shared" ca="1" si="40"/>
        <v>5.3780350024001472E-2</v>
      </c>
      <c r="D440" s="29">
        <f t="shared" ca="1" si="41"/>
        <v>6.9851381662949477E-2</v>
      </c>
      <c r="E440" s="29">
        <f t="shared" ca="1" si="42"/>
        <v>5.2189369099030422E-2</v>
      </c>
      <c r="F440" s="30">
        <f ca="1">'Single Simulation'!$AP$4*Results!C440</f>
        <v>101972.70973275525</v>
      </c>
      <c r="G440" s="30">
        <f ca="1">'Single Simulation'!$AP$5*Results!D440</f>
        <v>66068.844643219112</v>
      </c>
      <c r="H440" s="30">
        <f t="shared" ca="1" si="44"/>
        <v>35903.865089536135</v>
      </c>
      <c r="I440" s="30">
        <f t="shared" ca="1" si="45"/>
        <v>1873.8000672395942</v>
      </c>
      <c r="J440" s="25">
        <f ca="1">'Single Simulation'!$AP$7*Results!E440</f>
        <v>729191.64368513366</v>
      </c>
      <c r="K440" s="28" t="str">
        <f t="shared" ca="1" si="43"/>
        <v>No</v>
      </c>
    </row>
    <row r="441" spans="2:11" ht="11.25" hidden="1">
      <c r="B441" s="27">
        <v>439</v>
      </c>
      <c r="C441" s="24">
        <f t="shared" ca="1" si="40"/>
        <v>6.7909946145507563E-2</v>
      </c>
      <c r="D441" s="24">
        <f t="shared" ca="1" si="41"/>
        <v>3.0950476692905758E-2</v>
      </c>
      <c r="E441" s="24">
        <f t="shared" ca="1" si="42"/>
        <v>2.6781002939240413E-2</v>
      </c>
      <c r="F441" s="25">
        <f ca="1">'Single Simulation'!$AP$4*Results!C441</f>
        <v>128763.78125416372</v>
      </c>
      <c r="G441" s="25">
        <f ca="1">'Single Simulation'!$AP$5*Results!D441</f>
        <v>29274.470849039753</v>
      </c>
      <c r="H441" s="25">
        <f t="shared" ca="1" si="44"/>
        <v>99489.310405123979</v>
      </c>
      <c r="I441" s="25">
        <f t="shared" ca="1" si="45"/>
        <v>2664.4235143826272</v>
      </c>
      <c r="J441" s="25">
        <f ca="1">'Single Simulation'!$AP$7*Results!E441</f>
        <v>374185.08577379823</v>
      </c>
      <c r="K441" s="28" t="str">
        <f t="shared" ca="1" si="43"/>
        <v>No</v>
      </c>
    </row>
    <row r="442" spans="2:11" ht="11.25" hidden="1">
      <c r="B442" s="27">
        <v>440</v>
      </c>
      <c r="C442" s="29">
        <f t="shared" ca="1" si="40"/>
        <v>9.3707109017495127E-2</v>
      </c>
      <c r="D442" s="29">
        <f t="shared" ca="1" si="41"/>
        <v>4.2547198786520024E-2</v>
      </c>
      <c r="E442" s="29">
        <f t="shared" ca="1" si="42"/>
        <v>8.5966712045574017E-2</v>
      </c>
      <c r="F442" s="30">
        <f ca="1">'Single Simulation'!$AP$4*Results!C442</f>
        <v>177677.6801094109</v>
      </c>
      <c r="G442" s="30">
        <f ca="1">'Single Simulation'!$AP$5*Results!D442</f>
        <v>40243.216378950805</v>
      </c>
      <c r="H442" s="30">
        <f t="shared" ca="1" si="44"/>
        <v>137434.46373046009</v>
      </c>
      <c r="I442" s="30">
        <f t="shared" ca="1" si="45"/>
        <v>11814.788968654349</v>
      </c>
      <c r="J442" s="25">
        <f ca="1">'Single Simulation'!$AP$7*Results!E442</f>
        <v>1201129.8304788913</v>
      </c>
      <c r="K442" s="28" t="str">
        <f t="shared" ca="1" si="43"/>
        <v>No</v>
      </c>
    </row>
    <row r="443" spans="2:11" ht="11.25" hidden="1">
      <c r="B443" s="27">
        <v>441</v>
      </c>
      <c r="C443" s="24">
        <f t="shared" ca="1" si="40"/>
        <v>7.6782840177124334E-2</v>
      </c>
      <c r="D443" s="24">
        <f t="shared" ca="1" si="41"/>
        <v>3.844260214293984E-2</v>
      </c>
      <c r="E443" s="24">
        <f t="shared" ca="1" si="42"/>
        <v>4.1662132808143834E-2</v>
      </c>
      <c r="F443" s="25">
        <f ca="1">'Single Simulation'!$AP$4*Results!C443</f>
        <v>145587.64065953679</v>
      </c>
      <c r="G443" s="25">
        <f ca="1">'Single Simulation'!$AP$5*Results!D443</f>
        <v>36360.888620907041</v>
      </c>
      <c r="H443" s="25">
        <f t="shared" ca="1" si="44"/>
        <v>109226.75203862975</v>
      </c>
      <c r="I443" s="25">
        <f t="shared" ca="1" si="45"/>
        <v>4550.6194496355884</v>
      </c>
      <c r="J443" s="25">
        <f ca="1">'Single Simulation'!$AP$7*Results!E443</f>
        <v>582104.73945666326</v>
      </c>
      <c r="K443" s="28" t="str">
        <f t="shared" ca="1" si="43"/>
        <v>No</v>
      </c>
    </row>
    <row r="444" spans="2:11" ht="11.25" hidden="1">
      <c r="B444" s="27">
        <v>442</v>
      </c>
      <c r="C444" s="29">
        <f t="shared" ca="1" si="40"/>
        <v>9.3135152898784865E-2</v>
      </c>
      <c r="D444" s="29">
        <f t="shared" ca="1" si="41"/>
        <v>4.472513355121599E-2</v>
      </c>
      <c r="E444" s="29">
        <f t="shared" ca="1" si="42"/>
        <v>2.5892044279441778E-2</v>
      </c>
      <c r="F444" s="30">
        <f ca="1">'Single Simulation'!$AP$4*Results!C444</f>
        <v>176593.196366797</v>
      </c>
      <c r="G444" s="30">
        <f ca="1">'Single Simulation'!$AP$5*Results!D444</f>
        <v>42303.213335146844</v>
      </c>
      <c r="H444" s="30">
        <f t="shared" ca="1" si="44"/>
        <v>134289.98303165016</v>
      </c>
      <c r="I444" s="30">
        <f t="shared" ca="1" si="45"/>
        <v>3477.0421869409711</v>
      </c>
      <c r="J444" s="25">
        <f ca="1">'Single Simulation'!$AP$7*Results!E444</f>
        <v>361764.52508304361</v>
      </c>
      <c r="K444" s="28" t="str">
        <f t="shared" ca="1" si="43"/>
        <v>No</v>
      </c>
    </row>
    <row r="445" spans="2:11" ht="11.25" hidden="1">
      <c r="B445" s="27">
        <v>443</v>
      </c>
      <c r="C445" s="24">
        <f t="shared" ca="1" si="40"/>
        <v>9.3929610010665729E-2</v>
      </c>
      <c r="D445" s="24">
        <f t="shared" ca="1" si="41"/>
        <v>4.637260896599632E-2</v>
      </c>
      <c r="E445" s="24">
        <f t="shared" ca="1" si="42"/>
        <v>4.992037667386981E-2</v>
      </c>
      <c r="F445" s="25">
        <f ca="1">'Single Simulation'!$AP$4*Results!C445</f>
        <v>178099.56336568779</v>
      </c>
      <c r="G445" s="25">
        <f ca="1">'Single Simulation'!$AP$5*Results!D445</f>
        <v>43861.475958466988</v>
      </c>
      <c r="H445" s="25">
        <f t="shared" ca="1" si="44"/>
        <v>134238.0874072208</v>
      </c>
      <c r="I445" s="25">
        <f t="shared" ca="1" si="45"/>
        <v>6701.2158873483213</v>
      </c>
      <c r="J445" s="25">
        <f ca="1">'Single Simulation'!$AP$7*Results!E445</f>
        <v>697489.20419266773</v>
      </c>
      <c r="K445" s="28" t="str">
        <f t="shared" ca="1" si="43"/>
        <v>No</v>
      </c>
    </row>
    <row r="446" spans="2:11" ht="11.25" hidden="1">
      <c r="B446" s="27">
        <v>444</v>
      </c>
      <c r="C446" s="29">
        <f t="shared" ca="1" si="40"/>
        <v>8.0249140234036537E-2</v>
      </c>
      <c r="D446" s="29">
        <f t="shared" ca="1" si="41"/>
        <v>4.7663318592918107E-2</v>
      </c>
      <c r="E446" s="29">
        <f t="shared" ca="1" si="42"/>
        <v>0.11887999534073598</v>
      </c>
      <c r="F446" s="30">
        <f ca="1">'Single Simulation'!$AP$4*Results!C446</f>
        <v>152160.07853679854</v>
      </c>
      <c r="G446" s="30">
        <f ca="1">'Single Simulation'!$AP$5*Results!D446</f>
        <v>45082.292093959906</v>
      </c>
      <c r="H446" s="30">
        <f t="shared" ca="1" si="44"/>
        <v>107077.78644283864</v>
      </c>
      <c r="I446" s="30">
        <f t="shared" ca="1" si="45"/>
        <v>12729.406753420981</v>
      </c>
      <c r="J446" s="25">
        <f ca="1">'Single Simulation'!$AP$7*Results!E446</f>
        <v>1660995.3463760642</v>
      </c>
      <c r="K446" s="28" t="str">
        <f t="shared" ca="1" si="43"/>
        <v>No</v>
      </c>
    </row>
    <row r="447" spans="2:11" ht="11.25" hidden="1">
      <c r="B447" s="27">
        <v>445</v>
      </c>
      <c r="C447" s="24">
        <f t="shared" ca="1" si="40"/>
        <v>4.7930969855812758E-2</v>
      </c>
      <c r="D447" s="24">
        <f t="shared" ca="1" si="41"/>
        <v>3.4862453071102736E-2</v>
      </c>
      <c r="E447" s="24">
        <f t="shared" ca="1" si="42"/>
        <v>-3.7710331671717168E-2</v>
      </c>
      <c r="F447" s="25">
        <f ca="1">'Single Simulation'!$AP$4*Results!C447</f>
        <v>90881.723048194021</v>
      </c>
      <c r="G447" s="25">
        <f ca="1">'Single Simulation'!$AP$5*Results!D447</f>
        <v>32974.608962644619</v>
      </c>
      <c r="H447" s="25">
        <f t="shared" ca="1" si="44"/>
        <v>57907.114085549401</v>
      </c>
      <c r="I447" s="25">
        <f t="shared" ca="1" si="45"/>
        <v>-2183.6964783180329</v>
      </c>
      <c r="J447" s="25">
        <f ca="1">'Single Simulation'!$AP$7*Results!E447</f>
        <v>-526890.03929962928</v>
      </c>
      <c r="K447" s="28" t="str">
        <f t="shared" ca="1" si="43"/>
        <v>No</v>
      </c>
    </row>
    <row r="448" spans="2:11" ht="11.25" hidden="1">
      <c r="B448" s="27">
        <v>446</v>
      </c>
      <c r="C448" s="29">
        <f t="shared" ca="1" si="40"/>
        <v>7.2155379614143922E-2</v>
      </c>
      <c r="D448" s="29">
        <f t="shared" ca="1" si="41"/>
        <v>5.9413719956341024E-2</v>
      </c>
      <c r="E448" s="29">
        <f t="shared" ca="1" si="42"/>
        <v>9.1108553329314251E-2</v>
      </c>
      <c r="F448" s="30">
        <f ca="1">'Single Simulation'!$AP$4*Results!C448</f>
        <v>136813.53092283962</v>
      </c>
      <c r="G448" s="30">
        <f ca="1">'Single Simulation'!$AP$5*Results!D448</f>
        <v>56196.394974866016</v>
      </c>
      <c r="H448" s="30">
        <f t="shared" ca="1" si="44"/>
        <v>80617.135947973613</v>
      </c>
      <c r="I448" s="30">
        <f t="shared" ca="1" si="45"/>
        <v>7344.9106297725311</v>
      </c>
      <c r="J448" s="25">
        <f ca="1">'Single Simulation'!$AP$7*Results!E448</f>
        <v>1272971.8121312098</v>
      </c>
      <c r="K448" s="28" t="str">
        <f t="shared" ca="1" si="43"/>
        <v>No</v>
      </c>
    </row>
    <row r="449" spans="2:11" ht="11.25" hidden="1">
      <c r="B449" s="27">
        <v>447</v>
      </c>
      <c r="C449" s="24">
        <f t="shared" ca="1" si="40"/>
        <v>3.9444155076377871E-2</v>
      </c>
      <c r="D449" s="24">
        <f t="shared" ca="1" si="41"/>
        <v>4.7360533357101171E-2</v>
      </c>
      <c r="E449" s="24">
        <f t="shared" ca="1" si="42"/>
        <v>3.8835858093339892E-2</v>
      </c>
      <c r="F449" s="25">
        <f ca="1">'Single Simulation'!$AP$4*Results!C449</f>
        <v>74789.906991349024</v>
      </c>
      <c r="G449" s="25">
        <f ca="1">'Single Simulation'!$AP$5*Results!D449</f>
        <v>44795.903045823718</v>
      </c>
      <c r="H449" s="25">
        <f t="shared" ca="1" si="44"/>
        <v>29994.003945525306</v>
      </c>
      <c r="I449" s="25">
        <f t="shared" ca="1" si="45"/>
        <v>1164.8428808794977</v>
      </c>
      <c r="J449" s="25">
        <f ca="1">'Single Simulation'!$AP$7*Results!E449</f>
        <v>542615.93282090907</v>
      </c>
      <c r="K449" s="28" t="str">
        <f t="shared" ca="1" si="43"/>
        <v>No</v>
      </c>
    </row>
    <row r="450" spans="2:11" ht="11.25" hidden="1">
      <c r="B450" s="27">
        <v>448</v>
      </c>
      <c r="C450" s="29">
        <f t="shared" ca="1" si="40"/>
        <v>3.9319966633336673E-2</v>
      </c>
      <c r="D450" s="29">
        <f t="shared" ca="1" si="41"/>
        <v>2.949347817860826E-2</v>
      </c>
      <c r="E450" s="29">
        <f t="shared" ca="1" si="42"/>
        <v>4.934466194559517E-2</v>
      </c>
      <c r="F450" s="30">
        <f ca="1">'Single Simulation'!$AP$4*Results!C450</f>
        <v>74554.433773923869</v>
      </c>
      <c r="G450" s="30">
        <f ca="1">'Single Simulation'!$AP$5*Results!D450</f>
        <v>27896.37057106656</v>
      </c>
      <c r="H450" s="30">
        <f t="shared" ca="1" si="44"/>
        <v>46658.063202857309</v>
      </c>
      <c r="I450" s="30">
        <f t="shared" ca="1" si="45"/>
        <v>2302.3263557812074</v>
      </c>
      <c r="J450" s="25">
        <f ca="1">'Single Simulation'!$AP$7*Results!E450</f>
        <v>689445.2983886383</v>
      </c>
      <c r="K450" s="28" t="str">
        <f t="shared" ca="1" si="43"/>
        <v>No</v>
      </c>
    </row>
    <row r="451" spans="2:11" ht="11.25" hidden="1">
      <c r="B451" s="27">
        <v>449</v>
      </c>
      <c r="C451" s="24">
        <f t="shared" ca="1" si="40"/>
        <v>5.9689246018689475E-2</v>
      </c>
      <c r="D451" s="24">
        <f t="shared" ca="1" si="41"/>
        <v>3.4137439656840088E-2</v>
      </c>
      <c r="E451" s="24">
        <f t="shared" ca="1" si="42"/>
        <v>7.6949236956852893E-2</v>
      </c>
      <c r="F451" s="25">
        <f ca="1">'Single Simulation'!$AP$4*Results!C451</f>
        <v>113176.54414139059</v>
      </c>
      <c r="G451" s="25">
        <f ca="1">'Single Simulation'!$AP$5*Results!D451</f>
        <v>32288.855903924858</v>
      </c>
      <c r="H451" s="25">
        <f t="shared" ca="1" si="44"/>
        <v>80887.688237465743</v>
      </c>
      <c r="I451" s="25">
        <f t="shared" ca="1" si="45"/>
        <v>6224.2458890767939</v>
      </c>
      <c r="J451" s="25">
        <f ca="1">'Single Simulation'!$AP$7*Results!E451</f>
        <v>1075137.3612203107</v>
      </c>
      <c r="K451" s="28" t="str">
        <f t="shared" ca="1" si="43"/>
        <v>No</v>
      </c>
    </row>
    <row r="452" spans="2:11" ht="11.25" hidden="1">
      <c r="B452" s="27">
        <v>450</v>
      </c>
      <c r="C452" s="29">
        <f t="shared" ref="C452:C515" ca="1" si="46">MAX(0.02,MIN(0.12,_xlfn.NORM.INV(RAND(),0.06,0.02)))</f>
        <v>6.8678802548863549E-2</v>
      </c>
      <c r="D452" s="29">
        <f t="shared" ref="D452:D515" ca="1" si="47">MAX(0.02,MIN(0.08,_xlfn.NORM.INV(RAND(),0.05,0.015)))</f>
        <v>3.8310162221988006E-2</v>
      </c>
      <c r="E452" s="29">
        <f t="shared" ref="E452:E515" ca="1" si="48">MAX(-0.1,MIN(0.25,_xlfn.NORM.INV(RAND(),0.07,0.04)))</f>
        <v>5.2990232242051939E-2</v>
      </c>
      <c r="F452" s="30">
        <f ca="1">'Single Simulation'!$AP$4*Results!C452</f>
        <v>130221.60685051257</v>
      </c>
      <c r="G452" s="30">
        <f ca="1">'Single Simulation'!$AP$5*Results!D452</f>
        <v>36235.620482273094</v>
      </c>
      <c r="H452" s="30">
        <f t="shared" ca="1" si="44"/>
        <v>93985.986368239479</v>
      </c>
      <c r="I452" s="30">
        <f t="shared" ca="1" si="45"/>
        <v>4980.3392451513373</v>
      </c>
      <c r="J452" s="25">
        <f ca="1">'Single Simulation'!$AP$7*Results!E452</f>
        <v>740381.33081314981</v>
      </c>
      <c r="K452" s="28" t="str">
        <f t="shared" ref="K452:K515" ca="1" si="49">IF(J452&gt;$N$4,"Yes","No")</f>
        <v>No</v>
      </c>
    </row>
    <row r="453" spans="2:11" ht="11.25" hidden="1">
      <c r="B453" s="27">
        <v>451</v>
      </c>
      <c r="C453" s="24">
        <f t="shared" ca="1" si="46"/>
        <v>6.7019496697529393E-2</v>
      </c>
      <c r="D453" s="24">
        <f t="shared" ca="1" si="47"/>
        <v>3.2300959589081073E-2</v>
      </c>
      <c r="E453" s="24">
        <f t="shared" ca="1" si="48"/>
        <v>0.10099124316166888</v>
      </c>
      <c r="F453" s="25">
        <f ca="1">'Single Simulation'!$AP$4*Results!C453</f>
        <v>127075.40356510357</v>
      </c>
      <c r="G453" s="25">
        <f ca="1">'Single Simulation'!$AP$5*Results!D453</f>
        <v>30551.823458774288</v>
      </c>
      <c r="H453" s="25">
        <f t="shared" ca="1" si="44"/>
        <v>96523.580106329275</v>
      </c>
      <c r="I453" s="25">
        <f t="shared" ca="1" si="45"/>
        <v>9748.036349353124</v>
      </c>
      <c r="J453" s="25">
        <f ca="1">'Single Simulation'!$AP$7*Results!E453</f>
        <v>1411053.0912746841</v>
      </c>
      <c r="K453" s="28" t="str">
        <f t="shared" ca="1" si="49"/>
        <v>No</v>
      </c>
    </row>
    <row r="454" spans="2:11" ht="11.25" hidden="1">
      <c r="B454" s="27">
        <v>452</v>
      </c>
      <c r="C454" s="29">
        <f t="shared" ca="1" si="46"/>
        <v>2.8589404135566016E-2</v>
      </c>
      <c r="D454" s="29">
        <f t="shared" ca="1" si="47"/>
        <v>3.254675408860367E-2</v>
      </c>
      <c r="E454" s="29">
        <f t="shared" ca="1" si="48"/>
        <v>0.10166716097304623</v>
      </c>
      <c r="F454" s="30">
        <f ca="1">'Single Simulation'!$AP$4*Results!C454</f>
        <v>54208.256510926905</v>
      </c>
      <c r="G454" s="30">
        <f ca="1">'Single Simulation'!$AP$5*Results!D454</f>
        <v>30784.307888094172</v>
      </c>
      <c r="H454" s="30">
        <f t="shared" ca="1" si="44"/>
        <v>23423.948622832733</v>
      </c>
      <c r="I454" s="30">
        <f t="shared" ca="1" si="45"/>
        <v>2381.4463552619</v>
      </c>
      <c r="J454" s="25">
        <f ca="1">'Single Simulation'!$AP$7*Results!E454</f>
        <v>1420497.0379707837</v>
      </c>
      <c r="K454" s="28" t="str">
        <f t="shared" ca="1" si="49"/>
        <v>No</v>
      </c>
    </row>
    <row r="455" spans="2:11" ht="11.25" hidden="1">
      <c r="B455" s="27">
        <v>453</v>
      </c>
      <c r="C455" s="24">
        <f t="shared" ca="1" si="46"/>
        <v>6.5825940779861924E-2</v>
      </c>
      <c r="D455" s="24">
        <f t="shared" ca="1" si="47"/>
        <v>6.3215677794838526E-2</v>
      </c>
      <c r="E455" s="24">
        <f t="shared" ca="1" si="48"/>
        <v>5.4801776453535074E-2</v>
      </c>
      <c r="F455" s="25">
        <f ca="1">'Single Simulation'!$AP$4*Results!C455</f>
        <v>124812.3068934047</v>
      </c>
      <c r="G455" s="25">
        <f ca="1">'Single Simulation'!$AP$5*Results!D455</f>
        <v>59792.472186106017</v>
      </c>
      <c r="H455" s="25">
        <f t="shared" ca="1" si="44"/>
        <v>65019.834707298687</v>
      </c>
      <c r="I455" s="25">
        <f t="shared" ca="1" si="45"/>
        <v>3563.2024466751836</v>
      </c>
      <c r="J455" s="25">
        <f ca="1">'Single Simulation'!$AP$7*Results!E455</f>
        <v>765692.28827410552</v>
      </c>
      <c r="K455" s="28" t="str">
        <f t="shared" ca="1" si="49"/>
        <v>No</v>
      </c>
    </row>
    <row r="456" spans="2:11" ht="11.25" hidden="1">
      <c r="B456" s="27">
        <v>454</v>
      </c>
      <c r="C456" s="29">
        <f t="shared" ca="1" si="46"/>
        <v>6.2055633228108253E-2</v>
      </c>
      <c r="D456" s="29">
        <f t="shared" ca="1" si="47"/>
        <v>7.0296991037171241E-2</v>
      </c>
      <c r="E456" s="29">
        <f t="shared" ca="1" si="48"/>
        <v>9.6338541513455667E-2</v>
      </c>
      <c r="F456" s="30">
        <f ca="1">'Single Simulation'!$AP$4*Results!C456</f>
        <v>117663.44160326419</v>
      </c>
      <c r="G456" s="30">
        <f ca="1">'Single Simulation'!$AP$5*Results!D456</f>
        <v>66490.323729475116</v>
      </c>
      <c r="H456" s="30">
        <f t="shared" ca="1" si="44"/>
        <v>51173.117873789073</v>
      </c>
      <c r="I456" s="30">
        <f t="shared" ca="1" si="45"/>
        <v>4929.9435406569892</v>
      </c>
      <c r="J456" s="25">
        <f ca="1">'Single Simulation'!$AP$7*Results!E456</f>
        <v>1346045.3852800133</v>
      </c>
      <c r="K456" s="28" t="str">
        <f t="shared" ca="1" si="49"/>
        <v>No</v>
      </c>
    </row>
    <row r="457" spans="2:11" ht="11.25" hidden="1">
      <c r="B457" s="27">
        <v>455</v>
      </c>
      <c r="C457" s="24">
        <f t="shared" ca="1" si="46"/>
        <v>6.5124428315549668E-2</v>
      </c>
      <c r="D457" s="24">
        <f t="shared" ca="1" si="47"/>
        <v>2.4041802457868092E-2</v>
      </c>
      <c r="E457" s="24">
        <f t="shared" ca="1" si="48"/>
        <v>8.7078226925443661E-2</v>
      </c>
      <c r="F457" s="25">
        <f ca="1">'Single Simulation'!$AP$4*Results!C457</f>
        <v>123482.17187447497</v>
      </c>
      <c r="G457" s="25">
        <f ca="1">'Single Simulation'!$AP$5*Results!D457</f>
        <v>22739.909701376397</v>
      </c>
      <c r="H457" s="25">
        <f t="shared" ca="1" si="44"/>
        <v>100742.26217309857</v>
      </c>
      <c r="I457" s="25">
        <f t="shared" ca="1" si="45"/>
        <v>8772.4575664916156</v>
      </c>
      <c r="J457" s="25">
        <f ca="1">'Single Simulation'!$AP$7*Results!E457</f>
        <v>1216659.9542612783</v>
      </c>
      <c r="K457" s="28" t="str">
        <f t="shared" ca="1" si="49"/>
        <v>No</v>
      </c>
    </row>
    <row r="458" spans="2:11" ht="11.25" hidden="1">
      <c r="B458" s="27">
        <v>456</v>
      </c>
      <c r="C458" s="29">
        <f t="shared" ca="1" si="46"/>
        <v>5.0166449353252547E-2</v>
      </c>
      <c r="D458" s="29">
        <f t="shared" ca="1" si="47"/>
        <v>2.8151094057892175E-2</v>
      </c>
      <c r="E458" s="29">
        <f t="shared" ca="1" si="48"/>
        <v>1.33970405263956E-2</v>
      </c>
      <c r="F458" s="30">
        <f ca="1">'Single Simulation'!$AP$4*Results!C458</f>
        <v>95120.406913290077</v>
      </c>
      <c r="G458" s="30">
        <f ca="1">'Single Simulation'!$AP$5*Results!D458</f>
        <v>26626.678178279457</v>
      </c>
      <c r="H458" s="30">
        <f t="shared" ca="1" si="44"/>
        <v>68493.72873501062</v>
      </c>
      <c r="I458" s="30">
        <f t="shared" ca="1" si="45"/>
        <v>917.61325966688412</v>
      </c>
      <c r="J458" s="25">
        <f ca="1">'Single Simulation'!$AP$7*Results!E458</f>
        <v>187183.90681101845</v>
      </c>
      <c r="K458" s="28" t="str">
        <f t="shared" ca="1" si="49"/>
        <v>No</v>
      </c>
    </row>
    <row r="459" spans="2:11" ht="11.25" hidden="1">
      <c r="B459" s="27">
        <v>457</v>
      </c>
      <c r="C459" s="24">
        <f t="shared" ca="1" si="46"/>
        <v>7.9272420820534012E-2</v>
      </c>
      <c r="D459" s="24">
        <f t="shared" ca="1" si="47"/>
        <v>6.6767056161738239E-2</v>
      </c>
      <c r="E459" s="24">
        <f t="shared" ca="1" si="48"/>
        <v>9.9776098463763119E-2</v>
      </c>
      <c r="F459" s="25">
        <f ca="1">'Single Simulation'!$AP$4*Results!C459</f>
        <v>150308.1247060966</v>
      </c>
      <c r="G459" s="25">
        <f ca="1">'Single Simulation'!$AP$5*Results!D459</f>
        <v>63151.539107991135</v>
      </c>
      <c r="H459" s="25">
        <f t="shared" ca="1" si="44"/>
        <v>87156.585598105463</v>
      </c>
      <c r="I459" s="25">
        <f t="shared" ca="1" si="45"/>
        <v>8696.1440664019701</v>
      </c>
      <c r="J459" s="25">
        <f ca="1">'Single Simulation'!$AP$7*Results!E459</f>
        <v>1394075.0481429528</v>
      </c>
      <c r="K459" s="28" t="str">
        <f t="shared" ca="1" si="49"/>
        <v>No</v>
      </c>
    </row>
    <row r="460" spans="2:11" ht="11.25" hidden="1">
      <c r="B460" s="27">
        <v>458</v>
      </c>
      <c r="C460" s="29">
        <f t="shared" ca="1" si="46"/>
        <v>8.1106149571176983E-2</v>
      </c>
      <c r="D460" s="29">
        <f t="shared" ca="1" si="47"/>
        <v>2.1697281162279328E-2</v>
      </c>
      <c r="E460" s="29">
        <f t="shared" ca="1" si="48"/>
        <v>0.1044701647371829</v>
      </c>
      <c r="F460" s="30">
        <f ca="1">'Single Simulation'!$AP$4*Results!C460</f>
        <v>153785.05056348638</v>
      </c>
      <c r="G460" s="30">
        <f ca="1">'Single Simulation'!$AP$5*Results!D460</f>
        <v>20522.347076940372</v>
      </c>
      <c r="H460" s="30">
        <f t="shared" ca="1" si="44"/>
        <v>133262.703486546</v>
      </c>
      <c r="I460" s="30">
        <f t="shared" ca="1" si="45"/>
        <v>13921.976586561819</v>
      </c>
      <c r="J460" s="25">
        <f ca="1">'Single Simulation'!$AP$7*Results!E460</f>
        <v>1459660.7020907318</v>
      </c>
      <c r="K460" s="28" t="str">
        <f t="shared" ca="1" si="49"/>
        <v>No</v>
      </c>
    </row>
    <row r="461" spans="2:11" ht="11.25" hidden="1">
      <c r="B461" s="27">
        <v>459</v>
      </c>
      <c r="C461" s="24">
        <f t="shared" ca="1" si="46"/>
        <v>8.6363358543109378E-2</v>
      </c>
      <c r="D461" s="24">
        <f t="shared" ca="1" si="47"/>
        <v>5.4323058708700703E-2</v>
      </c>
      <c r="E461" s="24">
        <f t="shared" ca="1" si="48"/>
        <v>0.10509255170107026</v>
      </c>
      <c r="F461" s="25">
        <f ca="1">'Single Simulation'!$AP$4*Results!C461</f>
        <v>163753.22377656604</v>
      </c>
      <c r="G461" s="25">
        <f ca="1">'Single Simulation'!$AP$5*Results!D461</f>
        <v>51381.399206786562</v>
      </c>
      <c r="H461" s="25">
        <f t="shared" ca="1" si="44"/>
        <v>112371.82456977948</v>
      </c>
      <c r="I461" s="25">
        <f t="shared" ca="1" si="45"/>
        <v>11809.441783343147</v>
      </c>
      <c r="J461" s="25">
        <f ca="1">'Single Simulation'!$AP$7*Results!E461</f>
        <v>1468356.7139613496</v>
      </c>
      <c r="K461" s="28" t="str">
        <f t="shared" ca="1" si="49"/>
        <v>No</v>
      </c>
    </row>
    <row r="462" spans="2:11" ht="11.25" hidden="1">
      <c r="B462" s="27">
        <v>460</v>
      </c>
      <c r="C462" s="29">
        <f t="shared" ca="1" si="46"/>
        <v>6.4524353146760957E-2</v>
      </c>
      <c r="D462" s="29">
        <f t="shared" ca="1" si="47"/>
        <v>5.9807440119622253E-2</v>
      </c>
      <c r="E462" s="29">
        <f t="shared" ca="1" si="48"/>
        <v>4.2147231829598064E-2</v>
      </c>
      <c r="F462" s="30">
        <f ca="1">'Single Simulation'!$AP$4*Results!C462</f>
        <v>122344.37171182418</v>
      </c>
      <c r="G462" s="30">
        <f ca="1">'Single Simulation'!$AP$5*Results!D462</f>
        <v>56568.794713875439</v>
      </c>
      <c r="H462" s="30">
        <f t="shared" ca="1" si="44"/>
        <v>65775.576997948738</v>
      </c>
      <c r="I462" s="30">
        <f t="shared" ca="1" si="45"/>
        <v>2772.2584924581233</v>
      </c>
      <c r="J462" s="25">
        <f ca="1">'Single Simulation'!$AP$7*Results!E462</f>
        <v>588882.55951678031</v>
      </c>
      <c r="K462" s="28" t="str">
        <f t="shared" ca="1" si="49"/>
        <v>No</v>
      </c>
    </row>
    <row r="463" spans="2:11" ht="11.25" hidden="1">
      <c r="B463" s="27">
        <v>461</v>
      </c>
      <c r="C463" s="24">
        <f t="shared" ca="1" si="46"/>
        <v>3.2403315184942369E-2</v>
      </c>
      <c r="D463" s="24">
        <f t="shared" ca="1" si="47"/>
        <v>3.0296254176329803E-2</v>
      </c>
      <c r="E463" s="24">
        <f t="shared" ca="1" si="48"/>
        <v>5.8606292569636696E-2</v>
      </c>
      <c r="F463" s="25">
        <f ca="1">'Single Simulation'!$AP$4*Results!C463</f>
        <v>61439.798221068908</v>
      </c>
      <c r="G463" s="25">
        <f ca="1">'Single Simulation'!$AP$5*Results!D463</f>
        <v>28655.675275055004</v>
      </c>
      <c r="H463" s="25">
        <f t="shared" ca="1" si="44"/>
        <v>32784.1229460139</v>
      </c>
      <c r="I463" s="25">
        <f t="shared" ca="1" si="45"/>
        <v>1921.3559010130305</v>
      </c>
      <c r="J463" s="25">
        <f ca="1">'Single Simulation'!$AP$7*Results!E463</f>
        <v>818849.11710762861</v>
      </c>
      <c r="K463" s="28" t="str">
        <f t="shared" ca="1" si="49"/>
        <v>No</v>
      </c>
    </row>
    <row r="464" spans="2:11" ht="11.25" hidden="1">
      <c r="B464" s="27">
        <v>462</v>
      </c>
      <c r="C464" s="29">
        <f t="shared" ca="1" si="46"/>
        <v>3.8860177899021936E-2</v>
      </c>
      <c r="D464" s="29">
        <f t="shared" ca="1" si="47"/>
        <v>6.7751344754895054E-2</v>
      </c>
      <c r="E464" s="29">
        <f t="shared" ca="1" si="48"/>
        <v>4.6913042456861051E-2</v>
      </c>
      <c r="F464" s="30">
        <f ca="1">'Single Simulation'!$AP$4*Results!C464</f>
        <v>73682.630166811912</v>
      </c>
      <c r="G464" s="30">
        <f ca="1">'Single Simulation'!$AP$5*Results!D464</f>
        <v>64082.527280267532</v>
      </c>
      <c r="H464" s="30">
        <f t="shared" ca="1" si="44"/>
        <v>9600.1028865443805</v>
      </c>
      <c r="I464" s="30">
        <f t="shared" ca="1" si="45"/>
        <v>450.37003430669085</v>
      </c>
      <c r="J464" s="25">
        <f ca="1">'Single Simulation'!$AP$7*Results!E464</f>
        <v>655470.62802153127</v>
      </c>
      <c r="K464" s="28" t="str">
        <f t="shared" ca="1" si="49"/>
        <v>No</v>
      </c>
    </row>
    <row r="465" spans="2:11" ht="11.25" hidden="1">
      <c r="B465" s="27">
        <v>463</v>
      </c>
      <c r="C465" s="24">
        <f t="shared" ca="1" si="46"/>
        <v>3.70820477340695E-2</v>
      </c>
      <c r="D465" s="24">
        <f t="shared" ca="1" si="47"/>
        <v>4.2455379333799996E-2</v>
      </c>
      <c r="E465" s="24">
        <f t="shared" ca="1" si="48"/>
        <v>4.6789269295987507E-2</v>
      </c>
      <c r="F465" s="25">
        <f ca="1">'Single Simulation'!$AP$4*Results!C465</f>
        <v>70311.124568636558</v>
      </c>
      <c r="G465" s="25">
        <f ca="1">'Single Simulation'!$AP$5*Results!D465</f>
        <v>40156.36906093701</v>
      </c>
      <c r="H465" s="25">
        <f t="shared" ca="1" si="44"/>
        <v>30154.755507699549</v>
      </c>
      <c r="I465" s="25">
        <f t="shared" ca="1" si="45"/>
        <v>1410.9189760044167</v>
      </c>
      <c r="J465" s="25">
        <f ca="1">'Single Simulation'!$AP$7*Results!E465</f>
        <v>653741.26519956987</v>
      </c>
      <c r="K465" s="28" t="str">
        <f t="shared" ca="1" si="49"/>
        <v>No</v>
      </c>
    </row>
    <row r="466" spans="2:11" ht="11.25" hidden="1">
      <c r="B466" s="27">
        <v>464</v>
      </c>
      <c r="C466" s="29">
        <f t="shared" ca="1" si="46"/>
        <v>0.02</v>
      </c>
      <c r="D466" s="29">
        <f t="shared" ca="1" si="47"/>
        <v>6.2145578059228122E-2</v>
      </c>
      <c r="E466" s="29">
        <f t="shared" ca="1" si="48"/>
        <v>0.10532327123854325</v>
      </c>
      <c r="F466" s="30">
        <f ca="1">'Single Simulation'!$AP$4*Results!C466</f>
        <v>37921.921180225181</v>
      </c>
      <c r="G466" s="30">
        <f ca="1">'Single Simulation'!$AP$5*Results!D466</f>
        <v>58780.319648795587</v>
      </c>
      <c r="H466" s="30">
        <f t="shared" ca="1" si="44"/>
        <v>-20858.398468570405</v>
      </c>
      <c r="I466" s="30">
        <f t="shared" ca="1" si="45"/>
        <v>-2196.8747595068558</v>
      </c>
      <c r="J466" s="25">
        <f ca="1">'Single Simulation'!$AP$7*Results!E466</f>
        <v>1471580.3352019317</v>
      </c>
      <c r="K466" s="28" t="str">
        <f t="shared" ca="1" si="49"/>
        <v>No</v>
      </c>
    </row>
    <row r="467" spans="2:11" ht="11.25" hidden="1">
      <c r="B467" s="27">
        <v>465</v>
      </c>
      <c r="C467" s="24">
        <f t="shared" ca="1" si="46"/>
        <v>3.7967688311962372E-2</v>
      </c>
      <c r="D467" s="24">
        <f t="shared" ca="1" si="47"/>
        <v>5.9455775254429272E-2</v>
      </c>
      <c r="E467" s="24">
        <f t="shared" ca="1" si="48"/>
        <v>0.11411756839655907</v>
      </c>
      <c r="F467" s="25">
        <f ca="1">'Single Simulation'!$AP$4*Results!C467</f>
        <v>71990.384178079694</v>
      </c>
      <c r="G467" s="25">
        <f ca="1">'Single Simulation'!$AP$5*Results!D467</f>
        <v>56236.172927565989</v>
      </c>
      <c r="H467" s="25">
        <f t="shared" ca="1" si="44"/>
        <v>15754.211250513705</v>
      </c>
      <c r="I467" s="25">
        <f t="shared" ca="1" si="45"/>
        <v>1797.832279914338</v>
      </c>
      <c r="J467" s="25">
        <f ca="1">'Single Simulation'!$AP$7*Results!E467</f>
        <v>1594454.5548067091</v>
      </c>
      <c r="K467" s="28" t="str">
        <f t="shared" ca="1" si="49"/>
        <v>No</v>
      </c>
    </row>
    <row r="468" spans="2:11" ht="11.25" hidden="1">
      <c r="B468" s="27">
        <v>466</v>
      </c>
      <c r="C468" s="29">
        <f t="shared" ca="1" si="46"/>
        <v>4.3615594046840449E-2</v>
      </c>
      <c r="D468" s="29">
        <f t="shared" ca="1" si="47"/>
        <v>6.4804852351562095E-2</v>
      </c>
      <c r="E468" s="29">
        <f t="shared" ca="1" si="48"/>
        <v>2.9473130165578031E-2</v>
      </c>
      <c r="F468" s="30">
        <f ca="1">'Single Simulation'!$AP$4*Results!C468</f>
        <v>82699.355983649104</v>
      </c>
      <c r="G468" s="30">
        <f ca="1">'Single Simulation'!$AP$5*Results!D468</f>
        <v>61295.591013529549</v>
      </c>
      <c r="H468" s="30">
        <f t="shared" ca="1" si="44"/>
        <v>21403.764970119555</v>
      </c>
      <c r="I468" s="30">
        <f t="shared" ca="1" si="45"/>
        <v>630.83595099777301</v>
      </c>
      <c r="J468" s="25">
        <f ca="1">'Single Simulation'!$AP$7*Results!E468</f>
        <v>411799.57912890369</v>
      </c>
      <c r="K468" s="28" t="str">
        <f t="shared" ca="1" si="49"/>
        <v>No</v>
      </c>
    </row>
    <row r="469" spans="2:11" ht="11.25" hidden="1">
      <c r="B469" s="27">
        <v>467</v>
      </c>
      <c r="C469" s="24">
        <f t="shared" ca="1" si="46"/>
        <v>5.7787342027250367E-2</v>
      </c>
      <c r="D469" s="24">
        <f t="shared" ca="1" si="47"/>
        <v>3.9344436355035352E-2</v>
      </c>
      <c r="E469" s="24">
        <f t="shared" ca="1" si="48"/>
        <v>0.11709241439416843</v>
      </c>
      <c r="F469" s="25">
        <f ca="1">'Single Simulation'!$AP$4*Results!C469</f>
        <v>109570.35147860511</v>
      </c>
      <c r="G469" s="25">
        <f ca="1">'Single Simulation'!$AP$5*Results!D469</f>
        <v>37213.887416841841</v>
      </c>
      <c r="H469" s="25">
        <f t="shared" ca="1" si="44"/>
        <v>72356.464061763269</v>
      </c>
      <c r="I469" s="25">
        <f t="shared" ca="1" si="45"/>
        <v>8472.3930740167398</v>
      </c>
      <c r="J469" s="25">
        <f ca="1">'Single Simulation'!$AP$7*Results!E469</f>
        <v>1636019.2044691863</v>
      </c>
      <c r="K469" s="28" t="str">
        <f t="shared" ca="1" si="49"/>
        <v>No</v>
      </c>
    </row>
    <row r="470" spans="2:11" ht="11.25" hidden="1">
      <c r="B470" s="27">
        <v>468</v>
      </c>
      <c r="C470" s="29">
        <f t="shared" ca="1" si="46"/>
        <v>4.0116991009858979E-2</v>
      </c>
      <c r="D470" s="29">
        <f t="shared" ca="1" si="47"/>
        <v>6.5531074685919649E-2</v>
      </c>
      <c r="E470" s="29">
        <f t="shared" ca="1" si="48"/>
        <v>5.4695950143866412E-2</v>
      </c>
      <c r="F470" s="30">
        <f ca="1">'Single Simulation'!$AP$4*Results!C470</f>
        <v>76065.668553183714</v>
      </c>
      <c r="G470" s="30">
        <f ca="1">'Single Simulation'!$AP$5*Results!D470</f>
        <v>61982.487527855119</v>
      </c>
      <c r="H470" s="30">
        <f t="shared" ca="1" si="44"/>
        <v>14083.181025328595</v>
      </c>
      <c r="I470" s="30">
        <f t="shared" ca="1" si="45"/>
        <v>770.29296722841832</v>
      </c>
      <c r="J470" s="25">
        <f ca="1">'Single Simulation'!$AP$7*Results!E470</f>
        <v>764213.67946881417</v>
      </c>
      <c r="K470" s="28" t="str">
        <f t="shared" ca="1" si="49"/>
        <v>No</v>
      </c>
    </row>
    <row r="471" spans="2:11" ht="11.25" hidden="1">
      <c r="B471" s="27">
        <v>469</v>
      </c>
      <c r="C471" s="24">
        <f t="shared" ca="1" si="46"/>
        <v>4.533885978568946E-2</v>
      </c>
      <c r="D471" s="24">
        <f t="shared" ca="1" si="47"/>
        <v>3.6844937139266905E-2</v>
      </c>
      <c r="E471" s="24">
        <f t="shared" ca="1" si="48"/>
        <v>0.10139072506127805</v>
      </c>
      <c r="F471" s="25">
        <f ca="1">'Single Simulation'!$AP$4*Results!C471</f>
        <v>85966.833359709839</v>
      </c>
      <c r="G471" s="25">
        <f ca="1">'Single Simulation'!$AP$5*Results!D471</f>
        <v>34849.73911453208</v>
      </c>
      <c r="H471" s="25">
        <f t="shared" ca="1" si="44"/>
        <v>51117.094245177759</v>
      </c>
      <c r="I471" s="25">
        <f t="shared" ca="1" si="45"/>
        <v>5182.7992485442564</v>
      </c>
      <c r="J471" s="25">
        <f ca="1">'Single Simulation'!$AP$7*Results!E471</f>
        <v>1416634.6659905179</v>
      </c>
      <c r="K471" s="28" t="str">
        <f t="shared" ca="1" si="49"/>
        <v>No</v>
      </c>
    </row>
    <row r="472" spans="2:11" ht="11.25" hidden="1">
      <c r="B472" s="27">
        <v>470</v>
      </c>
      <c r="C472" s="29">
        <f t="shared" ca="1" si="46"/>
        <v>6.7110681146796775E-2</v>
      </c>
      <c r="D472" s="29">
        <f t="shared" ca="1" si="47"/>
        <v>4.1822355905140482E-2</v>
      </c>
      <c r="E472" s="29">
        <f t="shared" ca="1" si="48"/>
        <v>4.7946576673847441E-2</v>
      </c>
      <c r="F472" s="30">
        <f ca="1">'Single Simulation'!$AP$4*Results!C472</f>
        <v>127248.29804000256</v>
      </c>
      <c r="G472" s="30">
        <f ca="1">'Single Simulation'!$AP$5*Results!D472</f>
        <v>39557.624618551738</v>
      </c>
      <c r="H472" s="30">
        <f t="shared" ca="1" si="44"/>
        <v>87690.673421450818</v>
      </c>
      <c r="I472" s="30">
        <f t="shared" ca="1" si="45"/>
        <v>4204.4675967829071</v>
      </c>
      <c r="J472" s="25">
        <f ca="1">'Single Simulation'!$AP$7*Results!E472</f>
        <v>669911.20332450303</v>
      </c>
      <c r="K472" s="28" t="str">
        <f t="shared" ca="1" si="49"/>
        <v>No</v>
      </c>
    </row>
    <row r="473" spans="2:11" ht="11.25" hidden="1">
      <c r="B473" s="27">
        <v>471</v>
      </c>
      <c r="C473" s="24">
        <f t="shared" ca="1" si="46"/>
        <v>4.2080351625680579E-2</v>
      </c>
      <c r="D473" s="24">
        <f t="shared" ca="1" si="47"/>
        <v>7.1946519292121425E-2</v>
      </c>
      <c r="E473" s="24">
        <f t="shared" ca="1" si="48"/>
        <v>2.7508765000862162E-2</v>
      </c>
      <c r="F473" s="25">
        <f ca="1">'Single Simulation'!$AP$4*Results!C473</f>
        <v>79788.388879260965</v>
      </c>
      <c r="G473" s="25">
        <f ca="1">'Single Simulation'!$AP$5*Results!D473</f>
        <v>68050.528029180627</v>
      </c>
      <c r="H473" s="25">
        <f t="shared" ca="1" si="44"/>
        <v>11737.860850080338</v>
      </c>
      <c r="I473" s="25">
        <f t="shared" ca="1" si="45"/>
        <v>322.89405573768022</v>
      </c>
      <c r="J473" s="25">
        <f ca="1">'Single Simulation'!$AP$7*Results!E473</f>
        <v>384353.40210118418</v>
      </c>
      <c r="K473" s="28" t="str">
        <f t="shared" ca="1" si="49"/>
        <v>No</v>
      </c>
    </row>
    <row r="474" spans="2:11" ht="11.25" hidden="1">
      <c r="B474" s="27">
        <v>472</v>
      </c>
      <c r="C474" s="29">
        <f t="shared" ca="1" si="46"/>
        <v>8.374490280958341E-2</v>
      </c>
      <c r="D474" s="29">
        <f t="shared" ca="1" si="47"/>
        <v>5.7596129866383731E-2</v>
      </c>
      <c r="E474" s="29">
        <f t="shared" ca="1" si="48"/>
        <v>5.4320764882154399E-2</v>
      </c>
      <c r="F474" s="30">
        <f ca="1">'Single Simulation'!$AP$4*Results!C474</f>
        <v>158788.38017953202</v>
      </c>
      <c r="G474" s="30">
        <f ca="1">'Single Simulation'!$AP$5*Results!D474</f>
        <v>54477.229592312971</v>
      </c>
      <c r="H474" s="30">
        <f t="shared" ca="1" si="44"/>
        <v>104311.15058721905</v>
      </c>
      <c r="I474" s="30">
        <f t="shared" ca="1" si="45"/>
        <v>5666.2614856353275</v>
      </c>
      <c r="J474" s="25">
        <f ca="1">'Single Simulation'!$AP$7*Results!E474</f>
        <v>758971.57820571808</v>
      </c>
      <c r="K474" s="28" t="str">
        <f t="shared" ca="1" si="49"/>
        <v>No</v>
      </c>
    </row>
    <row r="475" spans="2:11" ht="11.25" hidden="1">
      <c r="B475" s="27">
        <v>473</v>
      </c>
      <c r="C475" s="24">
        <f t="shared" ca="1" si="46"/>
        <v>5.2887443776592227E-2</v>
      </c>
      <c r="D475" s="24">
        <f t="shared" ca="1" si="47"/>
        <v>3.9453921754184482E-2</v>
      </c>
      <c r="E475" s="24">
        <f t="shared" ca="1" si="48"/>
        <v>1.020170912535661E-2</v>
      </c>
      <c r="F475" s="25">
        <f ca="1">'Single Simulation'!$AP$4*Results!C475</f>
        <v>100279.67371597605</v>
      </c>
      <c r="G475" s="25">
        <f ca="1">'Single Simulation'!$AP$5*Results!D475</f>
        <v>37317.444048863646</v>
      </c>
      <c r="H475" s="25">
        <f t="shared" ca="1" si="44"/>
        <v>62962.229667112406</v>
      </c>
      <c r="I475" s="25">
        <f t="shared" ca="1" si="45"/>
        <v>642.32235294777934</v>
      </c>
      <c r="J475" s="25">
        <f ca="1">'Single Simulation'!$AP$7*Results!E475</f>
        <v>142538.62757759637</v>
      </c>
      <c r="K475" s="28" t="str">
        <f t="shared" ca="1" si="49"/>
        <v>No</v>
      </c>
    </row>
    <row r="476" spans="2:11" ht="11.25" hidden="1">
      <c r="B476" s="27">
        <v>474</v>
      </c>
      <c r="C476" s="29">
        <f t="shared" ca="1" si="46"/>
        <v>3.5033102166980329E-2</v>
      </c>
      <c r="D476" s="29">
        <f t="shared" ca="1" si="47"/>
        <v>5.7965196338615174E-2</v>
      </c>
      <c r="E476" s="29">
        <f t="shared" ca="1" si="48"/>
        <v>3.7994249106282421E-2</v>
      </c>
      <c r="F476" s="30">
        <f ca="1">'Single Simulation'!$AP$4*Results!C476</f>
        <v>66426.126953750194</v>
      </c>
      <c r="G476" s="30">
        <f ca="1">'Single Simulation'!$AP$5*Results!D476</f>
        <v>54826.310667538346</v>
      </c>
      <c r="H476" s="30">
        <f t="shared" ca="1" si="44"/>
        <v>11599.816286211848</v>
      </c>
      <c r="I476" s="30">
        <f t="shared" ca="1" si="45"/>
        <v>440.72630956544475</v>
      </c>
      <c r="J476" s="25">
        <f ca="1">'Single Simulation'!$AP$7*Results!E476</f>
        <v>530856.94337138871</v>
      </c>
      <c r="K476" s="28" t="str">
        <f t="shared" ca="1" si="49"/>
        <v>No</v>
      </c>
    </row>
    <row r="477" spans="2:11" ht="11.25" hidden="1">
      <c r="B477" s="27">
        <v>475</v>
      </c>
      <c r="C477" s="24">
        <f t="shared" ca="1" si="46"/>
        <v>4.6386810472325166E-2</v>
      </c>
      <c r="D477" s="24">
        <f t="shared" ca="1" si="47"/>
        <v>3.0638402051108918E-2</v>
      </c>
      <c r="E477" s="24">
        <f t="shared" ca="1" si="48"/>
        <v>9.7200308769729363E-3</v>
      </c>
      <c r="F477" s="25">
        <f ca="1">'Single Simulation'!$AP$4*Results!C477</f>
        <v>87953.848526677932</v>
      </c>
      <c r="G477" s="25">
        <f ca="1">'Single Simulation'!$AP$5*Results!D477</f>
        <v>28979.295427521927</v>
      </c>
      <c r="H477" s="25">
        <f t="shared" ca="1" si="44"/>
        <v>58974.553099156008</v>
      </c>
      <c r="I477" s="25">
        <f t="shared" ca="1" si="45"/>
        <v>573.23447707947639</v>
      </c>
      <c r="J477" s="25">
        <f ca="1">'Single Simulation'!$AP$7*Results!E477</f>
        <v>135808.60267540239</v>
      </c>
      <c r="K477" s="28" t="str">
        <f t="shared" ca="1" si="49"/>
        <v>No</v>
      </c>
    </row>
    <row r="478" spans="2:11" ht="11.25" hidden="1">
      <c r="B478" s="27">
        <v>476</v>
      </c>
      <c r="C478" s="29">
        <f t="shared" ca="1" si="46"/>
        <v>4.9942614518062582E-2</v>
      </c>
      <c r="D478" s="29">
        <f t="shared" ca="1" si="47"/>
        <v>6.8861028455554626E-2</v>
      </c>
      <c r="E478" s="29">
        <f t="shared" ca="1" si="48"/>
        <v>0.12892651433133931</v>
      </c>
      <c r="F478" s="30">
        <f ca="1">'Single Simulation'!$AP$4*Results!C478</f>
        <v>94695.994564416949</v>
      </c>
      <c r="G478" s="30">
        <f ca="1">'Single Simulation'!$AP$5*Results!D478</f>
        <v>65132.1202629197</v>
      </c>
      <c r="H478" s="30">
        <f t="shared" ca="1" si="44"/>
        <v>29563.87430149725</v>
      </c>
      <c r="I478" s="30">
        <f t="shared" ca="1" si="45"/>
        <v>3811.5672638218989</v>
      </c>
      <c r="J478" s="25">
        <f ca="1">'Single Simulation'!$AP$7*Results!E478</f>
        <v>1801365.6521019491</v>
      </c>
      <c r="K478" s="28" t="str">
        <f t="shared" ca="1" si="49"/>
        <v>No</v>
      </c>
    </row>
    <row r="479" spans="2:11" ht="11.25" hidden="1">
      <c r="B479" s="27">
        <v>477</v>
      </c>
      <c r="C479" s="24">
        <f t="shared" ca="1" si="46"/>
        <v>7.7299649319091529E-2</v>
      </c>
      <c r="D479" s="24">
        <f t="shared" ca="1" si="47"/>
        <v>4.5339355971566818E-2</v>
      </c>
      <c r="E479" s="24">
        <f t="shared" ca="1" si="48"/>
        <v>7.8478481650796753E-2</v>
      </c>
      <c r="F479" s="25">
        <f ca="1">'Single Simulation'!$AP$4*Results!C479</f>
        <v>146567.56043688179</v>
      </c>
      <c r="G479" s="25">
        <f ca="1">'Single Simulation'!$AP$5*Results!D479</f>
        <v>42884.174866621681</v>
      </c>
      <c r="H479" s="25">
        <f t="shared" ca="1" si="44"/>
        <v>103683.38557026011</v>
      </c>
      <c r="I479" s="25">
        <f t="shared" ca="1" si="45"/>
        <v>8136.914671968143</v>
      </c>
      <c r="J479" s="25">
        <f ca="1">'Single Simulation'!$AP$7*Results!E479</f>
        <v>1096504.0202013331</v>
      </c>
      <c r="K479" s="28" t="str">
        <f t="shared" ca="1" si="49"/>
        <v>No</v>
      </c>
    </row>
    <row r="480" spans="2:11" ht="11.25" hidden="1">
      <c r="B480" s="27">
        <v>478</v>
      </c>
      <c r="C480" s="29">
        <f t="shared" ca="1" si="46"/>
        <v>9.1766009508623722E-2</v>
      </c>
      <c r="D480" s="29">
        <f t="shared" ca="1" si="47"/>
        <v>3.3702183831832905E-2</v>
      </c>
      <c r="E480" s="29">
        <f t="shared" ca="1" si="48"/>
        <v>7.6428575126083143E-2</v>
      </c>
      <c r="F480" s="30">
        <f ca="1">'Single Simulation'!$AP$4*Results!C480</f>
        <v>173997.16898049114</v>
      </c>
      <c r="G480" s="30">
        <f ca="1">'Single Simulation'!$AP$5*Results!D480</f>
        <v>31877.169709638612</v>
      </c>
      <c r="H480" s="30">
        <f t="shared" ca="1" si="44"/>
        <v>142119.99927085254</v>
      </c>
      <c r="I480" s="30">
        <f t="shared" ca="1" si="45"/>
        <v>10862.029041191236</v>
      </c>
      <c r="J480" s="25">
        <f ca="1">'Single Simulation'!$AP$7*Results!E480</f>
        <v>1067862.6563764433</v>
      </c>
      <c r="K480" s="28" t="str">
        <f t="shared" ca="1" si="49"/>
        <v>No</v>
      </c>
    </row>
    <row r="481" spans="2:11" ht="11.25" hidden="1">
      <c r="B481" s="27">
        <v>479</v>
      </c>
      <c r="C481" s="24">
        <f t="shared" ca="1" si="46"/>
        <v>6.8567431123942618E-2</v>
      </c>
      <c r="D481" s="24">
        <f t="shared" ca="1" si="47"/>
        <v>4.3387013147699202E-2</v>
      </c>
      <c r="E481" s="24">
        <f t="shared" ca="1" si="48"/>
        <v>8.4267340722969236E-2</v>
      </c>
      <c r="F481" s="25">
        <f ca="1">'Single Simulation'!$AP$4*Results!C481</f>
        <v>130010.43593063352</v>
      </c>
      <c r="G481" s="25">
        <f ca="1">'Single Simulation'!$AP$5*Results!D481</f>
        <v>41037.55377410246</v>
      </c>
      <c r="H481" s="25">
        <f t="shared" ca="1" si="44"/>
        <v>88972.882156531065</v>
      </c>
      <c r="I481" s="25">
        <f t="shared" ca="1" si="45"/>
        <v>7497.508175788993</v>
      </c>
      <c r="J481" s="25">
        <f ca="1">'Single Simulation'!$AP$7*Results!E481</f>
        <v>1177386.1564442385</v>
      </c>
      <c r="K481" s="28" t="str">
        <f t="shared" ca="1" si="49"/>
        <v>No</v>
      </c>
    </row>
    <row r="482" spans="2:11" ht="11.25" hidden="1">
      <c r="B482" s="27">
        <v>480</v>
      </c>
      <c r="C482" s="29">
        <f t="shared" ca="1" si="46"/>
        <v>6.3909518681078567E-2</v>
      </c>
      <c r="D482" s="29">
        <f t="shared" ca="1" si="47"/>
        <v>2.28323213693397E-2</v>
      </c>
      <c r="E482" s="29">
        <f t="shared" ca="1" si="48"/>
        <v>5.2865988639112543E-2</v>
      </c>
      <c r="F482" s="30">
        <f ca="1">'Single Simulation'!$AP$4*Results!C482</f>
        <v>121178.5865044995</v>
      </c>
      <c r="G482" s="30">
        <f ca="1">'Single Simulation'!$AP$5*Results!D482</f>
        <v>21595.923480424106</v>
      </c>
      <c r="H482" s="30">
        <f t="shared" ca="1" si="44"/>
        <v>99582.663024075388</v>
      </c>
      <c r="I482" s="30">
        <f t="shared" ca="1" si="45"/>
        <v>5264.5359320833422</v>
      </c>
      <c r="J482" s="25">
        <f ca="1">'Single Simulation'!$AP$7*Results!E482</f>
        <v>738645.39495861146</v>
      </c>
      <c r="K482" s="28" t="str">
        <f t="shared" ca="1" si="49"/>
        <v>No</v>
      </c>
    </row>
    <row r="483" spans="2:11" ht="11.25" hidden="1">
      <c r="B483" s="27">
        <v>481</v>
      </c>
      <c r="C483" s="24">
        <f t="shared" ca="1" si="46"/>
        <v>9.0309925813464351E-2</v>
      </c>
      <c r="D483" s="24">
        <f t="shared" ca="1" si="47"/>
        <v>4.5841883151184162E-2</v>
      </c>
      <c r="E483" s="24">
        <f t="shared" ca="1" si="48"/>
        <v>9.61223398128494E-2</v>
      </c>
      <c r="F483" s="25">
        <f ca="1">'Single Simulation'!$AP$4*Results!C483</f>
        <v>171236.2944245089</v>
      </c>
      <c r="G483" s="25">
        <f ca="1">'Single Simulation'!$AP$5*Results!D483</f>
        <v>43359.489590091842</v>
      </c>
      <c r="H483" s="25">
        <f t="shared" ca="1" si="44"/>
        <v>127876.80483441707</v>
      </c>
      <c r="I483" s="25">
        <f t="shared" ca="1" si="45"/>
        <v>12291.817688475261</v>
      </c>
      <c r="J483" s="25">
        <f ca="1">'Single Simulation'!$AP$7*Results!E483</f>
        <v>1343024.6077509066</v>
      </c>
      <c r="K483" s="28" t="str">
        <f t="shared" ca="1" si="49"/>
        <v>No</v>
      </c>
    </row>
    <row r="484" spans="2:11" ht="11.25" hidden="1">
      <c r="B484" s="27">
        <v>482</v>
      </c>
      <c r="C484" s="29">
        <f t="shared" ca="1" si="46"/>
        <v>6.1087932569583017E-2</v>
      </c>
      <c r="D484" s="29">
        <f t="shared" ca="1" si="47"/>
        <v>5.5888165263336537E-2</v>
      </c>
      <c r="E484" s="29">
        <f t="shared" ca="1" si="48"/>
        <v>6.7109992185933373E-2</v>
      </c>
      <c r="F484" s="30">
        <f ca="1">'Single Simulation'!$AP$4*Results!C484</f>
        <v>115828.58819833188</v>
      </c>
      <c r="G484" s="30">
        <f ca="1">'Single Simulation'!$AP$5*Results!D484</f>
        <v>52861.753343620578</v>
      </c>
      <c r="H484" s="30">
        <f t="shared" ca="1" si="44"/>
        <v>62966.834854711306</v>
      </c>
      <c r="I484" s="30">
        <f t="shared" ca="1" si="45"/>
        <v>4225.7037950726326</v>
      </c>
      <c r="J484" s="25">
        <f ca="1">'Single Simulation'!$AP$7*Results!E484</f>
        <v>937663.09795583203</v>
      </c>
      <c r="K484" s="28" t="str">
        <f t="shared" ca="1" si="49"/>
        <v>No</v>
      </c>
    </row>
    <row r="485" spans="2:11" ht="11.25" hidden="1">
      <c r="B485" s="27">
        <v>483</v>
      </c>
      <c r="C485" s="24">
        <f t="shared" ca="1" si="46"/>
        <v>5.4109658101863467E-2</v>
      </c>
      <c r="D485" s="24">
        <f t="shared" ca="1" si="47"/>
        <v>2.0206644468683584E-2</v>
      </c>
      <c r="E485" s="24">
        <f t="shared" ca="1" si="48"/>
        <v>0.12241095890713624</v>
      </c>
      <c r="F485" s="25">
        <f ca="1">'Single Simulation'!$AP$4*Results!C485</f>
        <v>102597.10948138995</v>
      </c>
      <c r="G485" s="25">
        <f ca="1">'Single Simulation'!$AP$5*Results!D485</f>
        <v>19112.430167868017</v>
      </c>
      <c r="H485" s="25">
        <f t="shared" ca="1" si="44"/>
        <v>83484.679313521934</v>
      </c>
      <c r="I485" s="25">
        <f t="shared" ca="1" si="45"/>
        <v>10219.439648822981</v>
      </c>
      <c r="J485" s="25">
        <f ca="1">'Single Simulation'!$AP$7*Results!E485</f>
        <v>1710330.0896623854</v>
      </c>
      <c r="K485" s="28" t="str">
        <f t="shared" ca="1" si="49"/>
        <v>No</v>
      </c>
    </row>
    <row r="486" spans="2:11" ht="11.25" hidden="1">
      <c r="B486" s="27">
        <v>484</v>
      </c>
      <c r="C486" s="29">
        <f t="shared" ca="1" si="46"/>
        <v>0.02</v>
      </c>
      <c r="D486" s="29">
        <f t="shared" ca="1" si="47"/>
        <v>2.8125823907948242E-2</v>
      </c>
      <c r="E486" s="29">
        <f t="shared" ca="1" si="48"/>
        <v>8.0568920349884943E-2</v>
      </c>
      <c r="F486" s="30">
        <f ca="1">'Single Simulation'!$AP$4*Results!C486</f>
        <v>37921.921180225181</v>
      </c>
      <c r="G486" s="30">
        <f ca="1">'Single Simulation'!$AP$5*Results!D486</f>
        <v>26602.776437597899</v>
      </c>
      <c r="H486" s="30">
        <f t="shared" ca="1" si="44"/>
        <v>11319.144742627283</v>
      </c>
      <c r="I486" s="30">
        <f t="shared" ca="1" si="45"/>
        <v>911.97127119755646</v>
      </c>
      <c r="J486" s="25">
        <f ca="1">'Single Simulation'!$AP$7*Results!E486</f>
        <v>1125711.7009479366</v>
      </c>
      <c r="K486" s="28" t="str">
        <f t="shared" ca="1" si="49"/>
        <v>No</v>
      </c>
    </row>
    <row r="487" spans="2:11" ht="11.25" hidden="1">
      <c r="B487" s="27">
        <v>485</v>
      </c>
      <c r="C487" s="24">
        <f t="shared" ca="1" si="46"/>
        <v>3.0836104437556067E-2</v>
      </c>
      <c r="D487" s="24">
        <f t="shared" ca="1" si="47"/>
        <v>2.9609305403669458E-2</v>
      </c>
      <c r="E487" s="24">
        <f t="shared" ca="1" si="48"/>
        <v>5.8984603838532101E-2</v>
      </c>
      <c r="F487" s="25">
        <f ca="1">'Single Simulation'!$AP$4*Results!C487</f>
        <v>58468.216099309648</v>
      </c>
      <c r="G487" s="25">
        <f ca="1">'Single Simulation'!$AP$5*Results!D487</f>
        <v>28005.925611437113</v>
      </c>
      <c r="H487" s="25">
        <f t="shared" ca="1" si="44"/>
        <v>30462.290487872535</v>
      </c>
      <c r="I487" s="25">
        <f t="shared" ca="1" si="45"/>
        <v>1796.8061364414461</v>
      </c>
      <c r="J487" s="25">
        <f ca="1">'Single Simulation'!$AP$7*Results!E487</f>
        <v>824134.89504962671</v>
      </c>
      <c r="K487" s="28" t="str">
        <f t="shared" ca="1" si="49"/>
        <v>No</v>
      </c>
    </row>
    <row r="488" spans="2:11" ht="11.25" hidden="1">
      <c r="B488" s="27">
        <v>486</v>
      </c>
      <c r="C488" s="29">
        <f t="shared" ca="1" si="46"/>
        <v>5.9346723313104345E-2</v>
      </c>
      <c r="D488" s="29">
        <f t="shared" ca="1" si="47"/>
        <v>3.0063391181622906E-2</v>
      </c>
      <c r="E488" s="29">
        <f t="shared" ca="1" si="48"/>
        <v>5.6427508637104509E-2</v>
      </c>
      <c r="F488" s="30">
        <f ca="1">'Single Simulation'!$AP$4*Results!C488</f>
        <v>112527.08818920875</v>
      </c>
      <c r="G488" s="30">
        <f ca="1">'Single Simulation'!$AP$5*Results!D488</f>
        <v>28435.422093884143</v>
      </c>
      <c r="H488" s="30">
        <f t="shared" ca="1" si="44"/>
        <v>84091.666095324603</v>
      </c>
      <c r="I488" s="30">
        <f t="shared" ca="1" si="45"/>
        <v>4745.0832149024372</v>
      </c>
      <c r="J488" s="25">
        <f ca="1">'Single Simulation'!$AP$7*Results!E488</f>
        <v>788407.07374850672</v>
      </c>
      <c r="K488" s="28" t="str">
        <f t="shared" ca="1" si="49"/>
        <v>No</v>
      </c>
    </row>
    <row r="489" spans="2:11" ht="11.25" hidden="1">
      <c r="B489" s="27">
        <v>487</v>
      </c>
      <c r="C489" s="24">
        <f t="shared" ca="1" si="46"/>
        <v>4.8438607414500831E-2</v>
      </c>
      <c r="D489" s="24">
        <f t="shared" ca="1" si="47"/>
        <v>4.634042336653476E-2</v>
      </c>
      <c r="E489" s="24">
        <f t="shared" ca="1" si="48"/>
        <v>0.11305321522314246</v>
      </c>
      <c r="F489" s="25">
        <f ca="1">'Single Simulation'!$AP$4*Results!C489</f>
        <v>91844.25262262857</v>
      </c>
      <c r="G489" s="25">
        <f ca="1">'Single Simulation'!$AP$5*Results!D489</f>
        <v>43831.033248244945</v>
      </c>
      <c r="H489" s="25">
        <f t="shared" ca="1" si="44"/>
        <v>48013.219374383625</v>
      </c>
      <c r="I489" s="25">
        <f t="shared" ca="1" si="45"/>
        <v>5428.048823488145</v>
      </c>
      <c r="J489" s="25">
        <f ca="1">'Single Simulation'!$AP$7*Results!E489</f>
        <v>1579583.3759941726</v>
      </c>
      <c r="K489" s="28" t="str">
        <f t="shared" ca="1" si="49"/>
        <v>No</v>
      </c>
    </row>
    <row r="490" spans="2:11" ht="11.25" hidden="1">
      <c r="B490" s="27">
        <v>488</v>
      </c>
      <c r="C490" s="29">
        <f t="shared" ca="1" si="46"/>
        <v>8.1917515755129483E-2</v>
      </c>
      <c r="D490" s="29">
        <f t="shared" ca="1" si="47"/>
        <v>4.0296977212965504E-2</v>
      </c>
      <c r="E490" s="29">
        <f t="shared" ca="1" si="48"/>
        <v>-1.6854232361929872E-3</v>
      </c>
      <c r="F490" s="30">
        <f ca="1">'Single Simulation'!$AP$4*Results!C490</f>
        <v>155323.47878729372</v>
      </c>
      <c r="G490" s="30">
        <f ca="1">'Single Simulation'!$AP$5*Results!D490</f>
        <v>38114.847032251811</v>
      </c>
      <c r="H490" s="30">
        <f t="shared" ca="1" si="44"/>
        <v>117208.6317550419</v>
      </c>
      <c r="I490" s="30">
        <f t="shared" ca="1" si="45"/>
        <v>-197.54615144233486</v>
      </c>
      <c r="J490" s="25">
        <f ca="1">'Single Simulation'!$AP$7*Results!E490</f>
        <v>-23548.790895951144</v>
      </c>
      <c r="K490" s="28" t="str">
        <f t="shared" ca="1" si="49"/>
        <v>No</v>
      </c>
    </row>
    <row r="491" spans="2:11" ht="11.25" hidden="1">
      <c r="B491" s="27">
        <v>489</v>
      </c>
      <c r="C491" s="24">
        <f t="shared" ca="1" si="46"/>
        <v>9.468873257359306E-2</v>
      </c>
      <c r="D491" s="24">
        <f t="shared" ca="1" si="47"/>
        <v>4.2821997933131323E-2</v>
      </c>
      <c r="E491" s="24">
        <f t="shared" ca="1" si="48"/>
        <v>-2.2637028613703702E-3</v>
      </c>
      <c r="F491" s="25">
        <f ca="1">'Single Simulation'!$AP$4*Results!C491</f>
        <v>179538.93266556083</v>
      </c>
      <c r="G491" s="25">
        <f ca="1">'Single Simulation'!$AP$5*Results!D491</f>
        <v>40503.134818548126</v>
      </c>
      <c r="H491" s="25">
        <f t="shared" ca="1" si="44"/>
        <v>139035.7978470127</v>
      </c>
      <c r="I491" s="25">
        <f t="shared" ca="1" si="45"/>
        <v>-314.73573341919501</v>
      </c>
      <c r="J491" s="25">
        <f ca="1">'Single Simulation'!$AP$7*Results!E491</f>
        <v>-31628.533526918356</v>
      </c>
      <c r="K491" s="28" t="str">
        <f t="shared" ca="1" si="49"/>
        <v>No</v>
      </c>
    </row>
    <row r="492" spans="2:11" ht="11.25" hidden="1">
      <c r="B492" s="27">
        <v>490</v>
      </c>
      <c r="C492" s="29">
        <f t="shared" ca="1" si="46"/>
        <v>4.9499655894187831E-2</v>
      </c>
      <c r="D492" s="29">
        <f t="shared" ca="1" si="47"/>
        <v>4.9011215391457613E-2</v>
      </c>
      <c r="E492" s="29">
        <f t="shared" ca="1" si="48"/>
        <v>4.2255131433121679E-2</v>
      </c>
      <c r="F492" s="30">
        <f ca="1">'Single Simulation'!$AP$4*Results!C492</f>
        <v>93856.10246338298</v>
      </c>
      <c r="G492" s="30">
        <f ca="1">'Single Simulation'!$AP$5*Results!D492</f>
        <v>46357.198646381548</v>
      </c>
      <c r="H492" s="30">
        <f t="shared" ca="1" si="44"/>
        <v>47498.903817001432</v>
      </c>
      <c r="I492" s="30">
        <f t="shared" ca="1" si="45"/>
        <v>2007.0724237166005</v>
      </c>
      <c r="J492" s="25">
        <f ca="1">'Single Simulation'!$AP$7*Results!E492</f>
        <v>590390.13645447162</v>
      </c>
      <c r="K492" s="28" t="str">
        <f t="shared" ca="1" si="49"/>
        <v>No</v>
      </c>
    </row>
    <row r="493" spans="2:11" ht="11.25" hidden="1">
      <c r="B493" s="27">
        <v>491</v>
      </c>
      <c r="C493" s="24">
        <f t="shared" ca="1" si="46"/>
        <v>3.6849311620063829E-2</v>
      </c>
      <c r="D493" s="24">
        <f t="shared" ca="1" si="47"/>
        <v>4.2610673187424078E-2</v>
      </c>
      <c r="E493" s="24">
        <f t="shared" ca="1" si="48"/>
        <v>2.5491964992831247E-2</v>
      </c>
      <c r="F493" s="25">
        <f ca="1">'Single Simulation'!$AP$4*Results!C493</f>
        <v>69869.834540080818</v>
      </c>
      <c r="G493" s="25">
        <f ca="1">'Single Simulation'!$AP$5*Results!D493</f>
        <v>40303.253564076025</v>
      </c>
      <c r="H493" s="25">
        <f t="shared" ca="1" si="44"/>
        <v>29566.580976004792</v>
      </c>
      <c r="I493" s="25">
        <f t="shared" ca="1" si="45"/>
        <v>753.71024719802449</v>
      </c>
      <c r="J493" s="25">
        <f ca="1">'Single Simulation'!$AP$7*Results!E493</f>
        <v>356174.60365566751</v>
      </c>
      <c r="K493" s="28" t="str">
        <f t="shared" ca="1" si="49"/>
        <v>No</v>
      </c>
    </row>
    <row r="494" spans="2:11" ht="11.25" hidden="1">
      <c r="B494" s="27">
        <v>492</v>
      </c>
      <c r="C494" s="29">
        <f t="shared" ca="1" si="46"/>
        <v>4.6300669134798314E-2</v>
      </c>
      <c r="D494" s="29">
        <f t="shared" ca="1" si="47"/>
        <v>7.2856517836405968E-2</v>
      </c>
      <c r="E494" s="29">
        <f t="shared" ca="1" si="48"/>
        <v>4.8093753367789156E-2</v>
      </c>
      <c r="F494" s="30">
        <f ca="1">'Single Simulation'!$AP$4*Results!C494</f>
        <v>87790.516276075316</v>
      </c>
      <c r="G494" s="30">
        <f ca="1">'Single Simulation'!$AP$5*Results!D494</f>
        <v>68911.249048816244</v>
      </c>
      <c r="H494" s="30">
        <f t="shared" ca="1" si="44"/>
        <v>18879.267227259072</v>
      </c>
      <c r="I494" s="30">
        <f t="shared" ca="1" si="45"/>
        <v>907.97482179238239</v>
      </c>
      <c r="J494" s="25">
        <f ca="1">'Single Simulation'!$AP$7*Results!E494</f>
        <v>671967.56110809417</v>
      </c>
      <c r="K494" s="28" t="str">
        <f t="shared" ca="1" si="49"/>
        <v>No</v>
      </c>
    </row>
    <row r="495" spans="2:11" ht="11.25" hidden="1">
      <c r="B495" s="27">
        <v>493</v>
      </c>
      <c r="C495" s="24">
        <f t="shared" ca="1" si="46"/>
        <v>8.4963141732009861E-2</v>
      </c>
      <c r="D495" s="24">
        <f t="shared" ca="1" si="47"/>
        <v>3.4208636947091704E-2</v>
      </c>
      <c r="E495" s="24">
        <f t="shared" ca="1" si="48"/>
        <v>2.5206577411593691E-2</v>
      </c>
      <c r="F495" s="25">
        <f ca="1">'Single Simulation'!$AP$4*Results!C495</f>
        <v>161098.27819927892</v>
      </c>
      <c r="G495" s="25">
        <f ca="1">'Single Simulation'!$AP$5*Results!D495</f>
        <v>32356.197774574601</v>
      </c>
      <c r="H495" s="25">
        <f t="shared" ca="1" si="44"/>
        <v>128742.08042470433</v>
      </c>
      <c r="I495" s="25">
        <f t="shared" ca="1" si="45"/>
        <v>3245.1472163549302</v>
      </c>
      <c r="J495" s="25">
        <f ca="1">'Single Simulation'!$AP$7*Results!E495</f>
        <v>352187.15864449949</v>
      </c>
      <c r="K495" s="28" t="str">
        <f t="shared" ca="1" si="49"/>
        <v>No</v>
      </c>
    </row>
    <row r="496" spans="2:11" ht="11.25" hidden="1">
      <c r="B496" s="27">
        <v>494</v>
      </c>
      <c r="C496" s="29">
        <f t="shared" ca="1" si="46"/>
        <v>5.3054300681124239E-2</v>
      </c>
      <c r="D496" s="29">
        <f t="shared" ca="1" si="47"/>
        <v>4.3242463901084223E-2</v>
      </c>
      <c r="E496" s="29">
        <f t="shared" ca="1" si="48"/>
        <v>3.6414079709010949E-3</v>
      </c>
      <c r="F496" s="30">
        <f ca="1">'Single Simulation'!$AP$4*Results!C496</f>
        <v>100596.05043507802</v>
      </c>
      <c r="G496" s="30">
        <f ca="1">'Single Simulation'!$AP$5*Results!D496</f>
        <v>40900.832044473951</v>
      </c>
      <c r="H496" s="30">
        <f t="shared" ca="1" si="44"/>
        <v>59695.218390604074</v>
      </c>
      <c r="I496" s="30">
        <f t="shared" ca="1" si="45"/>
        <v>217.37464407222731</v>
      </c>
      <c r="J496" s="25">
        <f ca="1">'Single Simulation'!$AP$7*Results!E496</f>
        <v>50877.876269993976</v>
      </c>
      <c r="K496" s="28" t="str">
        <f t="shared" ca="1" si="49"/>
        <v>No</v>
      </c>
    </row>
    <row r="497" spans="2:11" ht="11.25" hidden="1">
      <c r="B497" s="27">
        <v>495</v>
      </c>
      <c r="C497" s="24">
        <f t="shared" ca="1" si="46"/>
        <v>3.9160815076421607E-2</v>
      </c>
      <c r="D497" s="24">
        <f t="shared" ca="1" si="47"/>
        <v>4.5294427621633382E-2</v>
      </c>
      <c r="E497" s="24">
        <f t="shared" ca="1" si="48"/>
        <v>2.9914929117081587E-2</v>
      </c>
      <c r="F497" s="25">
        <f ca="1">'Single Simulation'!$AP$4*Results!C497</f>
        <v>74252.6671340717</v>
      </c>
      <c r="G497" s="25">
        <f ca="1">'Single Simulation'!$AP$5*Results!D497</f>
        <v>42841.679441317836</v>
      </c>
      <c r="H497" s="25">
        <f t="shared" ca="1" si="44"/>
        <v>31410.987692753864</v>
      </c>
      <c r="I497" s="25">
        <f t="shared" ca="1" si="45"/>
        <v>939.65747032625393</v>
      </c>
      <c r="J497" s="25">
        <f ca="1">'Single Simulation'!$AP$7*Results!E497</f>
        <v>417972.40913598711</v>
      </c>
      <c r="K497" s="28" t="str">
        <f t="shared" ca="1" si="49"/>
        <v>No</v>
      </c>
    </row>
    <row r="498" spans="2:11" ht="11.25" hidden="1">
      <c r="B498" s="27">
        <v>496</v>
      </c>
      <c r="C498" s="29">
        <f t="shared" ca="1" si="46"/>
        <v>7.0310102246388798E-2</v>
      </c>
      <c r="D498" s="29">
        <f t="shared" ca="1" si="47"/>
        <v>0.02</v>
      </c>
      <c r="E498" s="29">
        <f t="shared" ca="1" si="48"/>
        <v>9.8727800107796318E-2</v>
      </c>
      <c r="F498" s="30">
        <f ca="1">'Single Simulation'!$AP$4*Results!C498</f>
        <v>133314.70777805647</v>
      </c>
      <c r="G498" s="30">
        <f ca="1">'Single Simulation'!$AP$5*Results!D498</f>
        <v>18916.975747743385</v>
      </c>
      <c r="H498" s="30">
        <f t="shared" ca="1" si="44"/>
        <v>114397.73203031308</v>
      </c>
      <c r="I498" s="30">
        <f t="shared" ca="1" si="45"/>
        <v>11294.236420673999</v>
      </c>
      <c r="J498" s="25">
        <f ca="1">'Single Simulation'!$AP$7*Results!E498</f>
        <v>1379428.1877869794</v>
      </c>
      <c r="K498" s="28" t="str">
        <f t="shared" ca="1" si="49"/>
        <v>No</v>
      </c>
    </row>
    <row r="499" spans="2:11" ht="11.25" hidden="1">
      <c r="B499" s="27">
        <v>497</v>
      </c>
      <c r="C499" s="24">
        <f t="shared" ca="1" si="46"/>
        <v>4.7075962438797123E-2</v>
      </c>
      <c r="D499" s="24">
        <f t="shared" ca="1" si="47"/>
        <v>5.4374191726560051E-2</v>
      </c>
      <c r="E499" s="24">
        <f t="shared" ca="1" si="48"/>
        <v>0.14578071820190064</v>
      </c>
      <c r="F499" s="25">
        <f ca="1">'Single Simulation'!$AP$4*Results!C499</f>
        <v>89260.546854365282</v>
      </c>
      <c r="G499" s="25">
        <f ca="1">'Single Simulation'!$AP$5*Results!D499</f>
        <v>51429.763309724272</v>
      </c>
      <c r="H499" s="25">
        <f t="shared" ref="H499:H562" ca="1" si="50">F499-G499</f>
        <v>37830.78354464101</v>
      </c>
      <c r="I499" s="25">
        <f t="shared" ref="I499:I562" ca="1" si="51">H499*E499</f>
        <v>5514.9987952784104</v>
      </c>
      <c r="J499" s="25">
        <f ca="1">'Single Simulation'!$AP$7*Results!E499</f>
        <v>2036853.1629790883</v>
      </c>
      <c r="K499" s="28" t="str">
        <f t="shared" ca="1" si="49"/>
        <v>No</v>
      </c>
    </row>
    <row r="500" spans="2:11" ht="11.25" hidden="1">
      <c r="B500" s="27">
        <v>498</v>
      </c>
      <c r="C500" s="29">
        <f t="shared" ca="1" si="46"/>
        <v>4.3978671895967068E-2</v>
      </c>
      <c r="D500" s="29">
        <f t="shared" ca="1" si="47"/>
        <v>5.200883925546073E-2</v>
      </c>
      <c r="E500" s="29">
        <f t="shared" ca="1" si="48"/>
        <v>0.12175058954507564</v>
      </c>
      <c r="F500" s="30">
        <f ca="1">'Single Simulation'!$AP$4*Results!C500</f>
        <v>83387.786462492368</v>
      </c>
      <c r="G500" s="30">
        <f ca="1">'Single Simulation'!$AP$5*Results!D500</f>
        <v>49192.497543191734</v>
      </c>
      <c r="H500" s="30">
        <f t="shared" ca="1" si="50"/>
        <v>34195.288919300634</v>
      </c>
      <c r="I500" s="30">
        <f t="shared" ca="1" si="51"/>
        <v>4163.2965855890452</v>
      </c>
      <c r="J500" s="25">
        <f ca="1">'Single Simulation'!$AP$7*Results!E500</f>
        <v>1701103.3864300365</v>
      </c>
      <c r="K500" s="28" t="str">
        <f t="shared" ca="1" si="49"/>
        <v>No</v>
      </c>
    </row>
    <row r="501" spans="2:11" ht="11.25" hidden="1">
      <c r="B501" s="27">
        <v>499</v>
      </c>
      <c r="C501" s="24">
        <f t="shared" ca="1" si="46"/>
        <v>7.5814374892220177E-2</v>
      </c>
      <c r="D501" s="24">
        <f t="shared" ca="1" si="47"/>
        <v>4.0815168127234486E-2</v>
      </c>
      <c r="E501" s="24">
        <f t="shared" ca="1" si="48"/>
        <v>7.1886630140429952E-2</v>
      </c>
      <c r="F501" s="25">
        <f ca="1">'Single Simulation'!$AP$4*Results!C501</f>
        <v>143751.33744954082</v>
      </c>
      <c r="G501" s="25">
        <f ca="1">'Single Simulation'!$AP$5*Results!D501</f>
        <v>38604.977280148174</v>
      </c>
      <c r="H501" s="25">
        <f t="shared" ca="1" si="50"/>
        <v>105146.36016939265</v>
      </c>
      <c r="I501" s="25">
        <f t="shared" ca="1" si="51"/>
        <v>7558.6175041095648</v>
      </c>
      <c r="J501" s="25">
        <f ca="1">'Single Simulation'!$AP$7*Results!E501</f>
        <v>1004402.4462456902</v>
      </c>
      <c r="K501" s="28" t="str">
        <f t="shared" ca="1" si="49"/>
        <v>No</v>
      </c>
    </row>
    <row r="502" spans="2:11" ht="11.25" hidden="1">
      <c r="B502" s="27">
        <v>500</v>
      </c>
      <c r="C502" s="29">
        <f t="shared" ca="1" si="46"/>
        <v>6.8848228329290079E-2</v>
      </c>
      <c r="D502" s="29">
        <f t="shared" ca="1" si="47"/>
        <v>6.4971289670105792E-2</v>
      </c>
      <c r="E502" s="29">
        <f t="shared" ca="1" si="48"/>
        <v>7.0256967269343065E-2</v>
      </c>
      <c r="F502" s="30">
        <f ca="1">'Single Simulation'!$AP$4*Results!C502</f>
        <v>130542.85440507422</v>
      </c>
      <c r="G502" s="30">
        <f ca="1">'Single Simulation'!$AP$5*Results!D502</f>
        <v>61453.015549450072</v>
      </c>
      <c r="H502" s="30">
        <f t="shared" ca="1" si="50"/>
        <v>69089.838855624141</v>
      </c>
      <c r="I502" s="30">
        <f t="shared" ca="1" si="51"/>
        <v>4854.0425471237722</v>
      </c>
      <c r="J502" s="25">
        <f ca="1">'Single Simulation'!$AP$7*Results!E502</f>
        <v>981632.74107133585</v>
      </c>
      <c r="K502" s="28" t="str">
        <f t="shared" ca="1" si="49"/>
        <v>No</v>
      </c>
    </row>
    <row r="503" spans="2:11" ht="11.25" hidden="1">
      <c r="B503" s="27">
        <v>501</v>
      </c>
      <c r="C503" s="24">
        <f t="shared" ca="1" si="46"/>
        <v>3.6970301166372246E-2</v>
      </c>
      <c r="D503" s="24">
        <f t="shared" ca="1" si="47"/>
        <v>6.4076156467257075E-2</v>
      </c>
      <c r="E503" s="24">
        <f t="shared" ca="1" si="48"/>
        <v>7.4061781219797257E-2</v>
      </c>
      <c r="F503" s="25">
        <f ca="1">'Single Simulation'!$AP$4*Results!C503</f>
        <v>70099.242342017766</v>
      </c>
      <c r="G503" s="25">
        <f ca="1">'Single Simulation'!$AP$5*Results!D503</f>
        <v>60606.354894985627</v>
      </c>
      <c r="H503" s="25">
        <f t="shared" ca="1" si="50"/>
        <v>9492.8874470321389</v>
      </c>
      <c r="I503" s="25">
        <f t="shared" ca="1" si="51"/>
        <v>703.060153246254</v>
      </c>
      <c r="J503" s="25">
        <f ca="1">'Single Simulation'!$AP$7*Results!E503</f>
        <v>1034793.7312565834</v>
      </c>
      <c r="K503" s="28" t="str">
        <f t="shared" ca="1" si="49"/>
        <v>No</v>
      </c>
    </row>
    <row r="504" spans="2:11" ht="11.25" hidden="1">
      <c r="B504" s="27">
        <v>502</v>
      </c>
      <c r="C504" s="29">
        <f t="shared" ca="1" si="46"/>
        <v>2.7137905700895852E-2</v>
      </c>
      <c r="D504" s="29">
        <f t="shared" ca="1" si="47"/>
        <v>4.1858010240536446E-2</v>
      </c>
      <c r="E504" s="29">
        <f t="shared" ca="1" si="48"/>
        <v>6.7007895908134274E-2</v>
      </c>
      <c r="F504" s="30">
        <f ca="1">'Single Simulation'!$AP$4*Results!C504</f>
        <v>51456.076049287803</v>
      </c>
      <c r="G504" s="30">
        <f ca="1">'Single Simulation'!$AP$5*Results!D504</f>
        <v>39591.348228451105</v>
      </c>
      <c r="H504" s="30">
        <f t="shared" ca="1" si="50"/>
        <v>11864.727820836699</v>
      </c>
      <c r="I504" s="30">
        <f t="shared" ca="1" si="51"/>
        <v>795.0304467969703</v>
      </c>
      <c r="J504" s="25">
        <f ca="1">'Single Simulation'!$AP$7*Results!E504</f>
        <v>936236.60528294311</v>
      </c>
      <c r="K504" s="28" t="str">
        <f t="shared" ca="1" si="49"/>
        <v>No</v>
      </c>
    </row>
    <row r="505" spans="2:11" ht="11.25" hidden="1">
      <c r="B505" s="27">
        <v>503</v>
      </c>
      <c r="C505" s="24">
        <f t="shared" ca="1" si="46"/>
        <v>4.391942374393866E-2</v>
      </c>
      <c r="D505" s="24">
        <f t="shared" ca="1" si="47"/>
        <v>4.5694754408393261E-2</v>
      </c>
      <c r="E505" s="24">
        <f t="shared" ca="1" si="48"/>
        <v>5.2608241636971226E-2</v>
      </c>
      <c r="F505" s="25">
        <f ca="1">'Single Simulation'!$AP$4*Results!C505</f>
        <v>83275.446274927599</v>
      </c>
      <c r="G505" s="25">
        <f ca="1">'Single Simulation'!$AP$5*Results!D505</f>
        <v>43220.328047133269</v>
      </c>
      <c r="H505" s="25">
        <f t="shared" ca="1" si="50"/>
        <v>40055.11822779433</v>
      </c>
      <c r="I505" s="25">
        <f t="shared" ca="1" si="51"/>
        <v>2107.2293385252547</v>
      </c>
      <c r="J505" s="25">
        <f ca="1">'Single Simulation'!$AP$7*Results!E505</f>
        <v>735044.14506057743</v>
      </c>
      <c r="K505" s="28" t="str">
        <f t="shared" ca="1" si="49"/>
        <v>No</v>
      </c>
    </row>
    <row r="506" spans="2:11" ht="11.25" hidden="1">
      <c r="B506" s="27">
        <v>504</v>
      </c>
      <c r="C506" s="29">
        <f t="shared" ca="1" si="46"/>
        <v>0.10247680353256614</v>
      </c>
      <c r="D506" s="29">
        <f t="shared" ca="1" si="47"/>
        <v>5.9653990460141471E-2</v>
      </c>
      <c r="E506" s="29">
        <f t="shared" ca="1" si="48"/>
        <v>0.16282096960643211</v>
      </c>
      <c r="F506" s="30">
        <f ca="1">'Single Simulation'!$AP$4*Results!C506</f>
        <v>194305.86331816969</v>
      </c>
      <c r="G506" s="30">
        <f ca="1">'Single Simulation'!$AP$5*Results!D506</f>
        <v>56423.654539530573</v>
      </c>
      <c r="H506" s="30">
        <f t="shared" ca="1" si="50"/>
        <v>137882.20877863912</v>
      </c>
      <c r="I506" s="30">
        <f t="shared" ca="1" si="51"/>
        <v>22450.114924814527</v>
      </c>
      <c r="J506" s="25">
        <f ca="1">'Single Simulation'!$AP$7*Results!E506</f>
        <v>2274940.1363414288</v>
      </c>
      <c r="K506" s="28" t="str">
        <f t="shared" ca="1" si="49"/>
        <v>No</v>
      </c>
    </row>
    <row r="507" spans="2:11" ht="11.25" hidden="1">
      <c r="B507" s="27">
        <v>505</v>
      </c>
      <c r="C507" s="24">
        <f t="shared" ca="1" si="46"/>
        <v>7.6815912753894405E-2</v>
      </c>
      <c r="D507" s="24">
        <f t="shared" ca="1" si="47"/>
        <v>0.02</v>
      </c>
      <c r="E507" s="24">
        <f t="shared" ca="1" si="48"/>
        <v>8.5022477063472199E-2</v>
      </c>
      <c r="F507" s="25">
        <f ca="1">'Single Simulation'!$AP$4*Results!C507</f>
        <v>145650.34944201188</v>
      </c>
      <c r="G507" s="25">
        <f ca="1">'Single Simulation'!$AP$5*Results!D507</f>
        <v>18916.975747743385</v>
      </c>
      <c r="H507" s="25">
        <f t="shared" ca="1" si="50"/>
        <v>126733.37369426849</v>
      </c>
      <c r="I507" s="25">
        <f t="shared" ca="1" si="51"/>
        <v>10775.185358097393</v>
      </c>
      <c r="J507" s="25">
        <f ca="1">'Single Simulation'!$AP$7*Results!E507</f>
        <v>1187936.9471290787</v>
      </c>
      <c r="K507" s="28" t="str">
        <f t="shared" ca="1" si="49"/>
        <v>No</v>
      </c>
    </row>
    <row r="508" spans="2:11" ht="11.25" hidden="1">
      <c r="B508" s="27">
        <v>506</v>
      </c>
      <c r="C508" s="29">
        <f t="shared" ca="1" si="46"/>
        <v>4.3730085523348533E-2</v>
      </c>
      <c r="D508" s="29">
        <f t="shared" ca="1" si="47"/>
        <v>6.7199911745286514E-2</v>
      </c>
      <c r="E508" s="29">
        <f t="shared" ca="1" si="48"/>
        <v>4.6778687695749471E-2</v>
      </c>
      <c r="F508" s="30">
        <f ca="1">'Single Simulation'!$AP$4*Results!C508</f>
        <v>82916.442821046454</v>
      </c>
      <c r="G508" s="30">
        <f ca="1">'Single Simulation'!$AP$5*Results!D508</f>
        <v>63560.955036804036</v>
      </c>
      <c r="H508" s="30">
        <f t="shared" ca="1" si="50"/>
        <v>19355.487784242418</v>
      </c>
      <c r="I508" s="30">
        <f t="shared" ca="1" si="51"/>
        <v>905.42431825796996</v>
      </c>
      <c r="J508" s="25">
        <f ca="1">'Single Simulation'!$AP$7*Results!E508</f>
        <v>653593.41872041917</v>
      </c>
      <c r="K508" s="28" t="str">
        <f t="shared" ca="1" si="49"/>
        <v>No</v>
      </c>
    </row>
    <row r="509" spans="2:11" ht="11.25" hidden="1">
      <c r="B509" s="27">
        <v>507</v>
      </c>
      <c r="C509" s="24">
        <f t="shared" ca="1" si="46"/>
        <v>6.1791485042747604E-2</v>
      </c>
      <c r="D509" s="24">
        <f t="shared" ca="1" si="47"/>
        <v>5.9919780335761355E-2</v>
      </c>
      <c r="E509" s="24">
        <f t="shared" ca="1" si="48"/>
        <v>6.0253497953613386E-2</v>
      </c>
      <c r="F509" s="25">
        <f ca="1">'Single Simulation'!$AP$4*Results!C509</f>
        <v>117162.59127000689</v>
      </c>
      <c r="G509" s="25">
        <f ca="1">'Single Simulation'!$AP$5*Results!D509</f>
        <v>56675.051571085423</v>
      </c>
      <c r="H509" s="25">
        <f t="shared" ca="1" si="50"/>
        <v>60487.539698921464</v>
      </c>
      <c r="I509" s="25">
        <f t="shared" ca="1" si="51"/>
        <v>3644.5858494680729</v>
      </c>
      <c r="J509" s="25">
        <f ca="1">'Single Simulation'!$AP$7*Results!E509</f>
        <v>841863.92686993477</v>
      </c>
      <c r="K509" s="28" t="str">
        <f t="shared" ca="1" si="49"/>
        <v>No</v>
      </c>
    </row>
    <row r="510" spans="2:11" ht="11.25" hidden="1">
      <c r="B510" s="27">
        <v>508</v>
      </c>
      <c r="C510" s="29">
        <f t="shared" ca="1" si="46"/>
        <v>4.789820742188089E-2</v>
      </c>
      <c r="D510" s="29">
        <f t="shared" ca="1" si="47"/>
        <v>4.9796131866005781E-2</v>
      </c>
      <c r="E510" s="29">
        <f t="shared" ca="1" si="48"/>
        <v>6.2149175691358749E-2</v>
      </c>
      <c r="F510" s="30">
        <f ca="1">'Single Simulation'!$AP$4*Results!C510</f>
        <v>90819.602326332184</v>
      </c>
      <c r="G510" s="30">
        <f ca="1">'Single Simulation'!$AP$5*Results!D510</f>
        <v>47099.610942033141</v>
      </c>
      <c r="H510" s="30">
        <f t="shared" ca="1" si="50"/>
        <v>43719.991384299043</v>
      </c>
      <c r="I510" s="30">
        <f t="shared" ca="1" si="51"/>
        <v>2717.1614257674919</v>
      </c>
      <c r="J510" s="25">
        <f ca="1">'Single Simulation'!$AP$7*Results!E510</f>
        <v>868350.40082712891</v>
      </c>
      <c r="K510" s="28" t="str">
        <f t="shared" ca="1" si="49"/>
        <v>No</v>
      </c>
    </row>
    <row r="511" spans="2:11" ht="11.25" hidden="1">
      <c r="B511" s="27">
        <v>509</v>
      </c>
      <c r="C511" s="24">
        <f t="shared" ca="1" si="46"/>
        <v>9.5349947922563516E-2</v>
      </c>
      <c r="D511" s="24">
        <f t="shared" ca="1" si="47"/>
        <v>4.3478759870764341E-2</v>
      </c>
      <c r="E511" s="24">
        <f t="shared" ca="1" si="48"/>
        <v>0.15893079252692283</v>
      </c>
      <c r="F511" s="25">
        <f ca="1">'Single Simulation'!$AP$4*Results!C511</f>
        <v>180792.66048290144</v>
      </c>
      <c r="G511" s="25">
        <f ca="1">'Single Simulation'!$AP$5*Results!D511</f>
        <v>41124.332300860369</v>
      </c>
      <c r="H511" s="25">
        <f t="shared" ca="1" si="50"/>
        <v>139668.32818204106</v>
      </c>
      <c r="I511" s="25">
        <f t="shared" ca="1" si="51"/>
        <v>22197.598088882136</v>
      </c>
      <c r="J511" s="25">
        <f ca="1">'Single Simulation'!$AP$7*Results!E511</f>
        <v>2220586.4496078156</v>
      </c>
      <c r="K511" s="28" t="str">
        <f t="shared" ca="1" si="49"/>
        <v>No</v>
      </c>
    </row>
    <row r="512" spans="2:11" ht="11.25" hidden="1">
      <c r="B512" s="27">
        <v>510</v>
      </c>
      <c r="C512" s="29">
        <f t="shared" ca="1" si="46"/>
        <v>4.9312735509444719E-2</v>
      </c>
      <c r="D512" s="29">
        <f t="shared" ca="1" si="47"/>
        <v>5.3630037208933966E-2</v>
      </c>
      <c r="E512" s="29">
        <f t="shared" ca="1" si="48"/>
        <v>3.9894588182440183E-2</v>
      </c>
      <c r="F512" s="30">
        <f ca="1">'Single Simulation'!$AP$4*Results!C512</f>
        <v>93501.68345852269</v>
      </c>
      <c r="G512" s="30">
        <f ca="1">'Single Simulation'!$AP$5*Results!D512</f>
        <v>50725.905661598954</v>
      </c>
      <c r="H512" s="30">
        <f t="shared" ca="1" si="50"/>
        <v>42775.777796923736</v>
      </c>
      <c r="I512" s="30">
        <f t="shared" ca="1" si="51"/>
        <v>1706.5220393918407</v>
      </c>
      <c r="J512" s="25">
        <f ca="1">'Single Simulation'!$AP$7*Results!E512</f>
        <v>557408.54570774105</v>
      </c>
      <c r="K512" s="28" t="str">
        <f t="shared" ca="1" si="49"/>
        <v>No</v>
      </c>
    </row>
    <row r="513" spans="2:11" ht="11.25" hidden="1">
      <c r="B513" s="27">
        <v>511</v>
      </c>
      <c r="C513" s="24">
        <f t="shared" ca="1" si="46"/>
        <v>6.4879121576741694E-2</v>
      </c>
      <c r="D513" s="24">
        <f t="shared" ca="1" si="47"/>
        <v>3.9386365446946112E-2</v>
      </c>
      <c r="E513" s="24">
        <f t="shared" ca="1" si="48"/>
        <v>8.2285727233188471E-2</v>
      </c>
      <c r="F513" s="25">
        <f ca="1">'Single Simulation'!$AP$4*Results!C513</f>
        <v>123017.04673377227</v>
      </c>
      <c r="G513" s="25">
        <f ca="1">'Single Simulation'!$AP$5*Results!D513</f>
        <v>37253.545997581881</v>
      </c>
      <c r="H513" s="25">
        <f t="shared" ca="1" si="50"/>
        <v>85763.500736190384</v>
      </c>
      <c r="I513" s="25">
        <f t="shared" ca="1" si="51"/>
        <v>7057.1120281415206</v>
      </c>
      <c r="J513" s="25">
        <f ca="1">'Single Simulation'!$AP$7*Results!E513</f>
        <v>1149698.9852308829</v>
      </c>
      <c r="K513" s="28" t="str">
        <f t="shared" ca="1" si="49"/>
        <v>No</v>
      </c>
    </row>
    <row r="514" spans="2:11" ht="11.25" hidden="1">
      <c r="B514" s="27">
        <v>512</v>
      </c>
      <c r="C514" s="29">
        <f t="shared" ca="1" si="46"/>
        <v>5.9969943898932301E-2</v>
      </c>
      <c r="D514" s="29">
        <f t="shared" ca="1" si="47"/>
        <v>6.8114916229755199E-2</v>
      </c>
      <c r="E514" s="29">
        <f t="shared" ca="1" si="48"/>
        <v>9.3177318509711379E-2</v>
      </c>
      <c r="F514" s="30">
        <f ca="1">'Single Simulation'!$AP$4*Results!C514</f>
        <v>113708.77428589182</v>
      </c>
      <c r="G514" s="30">
        <f ca="1">'Single Simulation'!$AP$5*Results!D514</f>
        <v>64426.410918892565</v>
      </c>
      <c r="H514" s="30">
        <f t="shared" ca="1" si="50"/>
        <v>49282.363366999256</v>
      </c>
      <c r="I514" s="30">
        <f t="shared" ca="1" si="51"/>
        <v>4591.9984683582215</v>
      </c>
      <c r="J514" s="25">
        <f ca="1">'Single Simulation'!$AP$7*Results!E514</f>
        <v>1301876.6697360198</v>
      </c>
      <c r="K514" s="28" t="str">
        <f t="shared" ca="1" si="49"/>
        <v>No</v>
      </c>
    </row>
    <row r="515" spans="2:11" ht="11.25" hidden="1">
      <c r="B515" s="27">
        <v>513</v>
      </c>
      <c r="C515" s="24">
        <f t="shared" ca="1" si="46"/>
        <v>0.02</v>
      </c>
      <c r="D515" s="24">
        <f t="shared" ca="1" si="47"/>
        <v>4.6346268067545021E-2</v>
      </c>
      <c r="E515" s="24">
        <f t="shared" ca="1" si="48"/>
        <v>0.17878982134693167</v>
      </c>
      <c r="F515" s="25">
        <f ca="1">'Single Simulation'!$AP$4*Results!C515</f>
        <v>37921.921180225181</v>
      </c>
      <c r="G515" s="25">
        <f ca="1">'Single Simulation'!$AP$5*Results!D515</f>
        <v>43836.56145160814</v>
      </c>
      <c r="H515" s="25">
        <f t="shared" ca="1" si="50"/>
        <v>-5914.6402713829593</v>
      </c>
      <c r="I515" s="25">
        <f t="shared" ca="1" si="51"/>
        <v>-1057.4774774519267</v>
      </c>
      <c r="J515" s="25">
        <f ca="1">'Single Simulation'!$AP$7*Results!E515</f>
        <v>2498057.4770842087</v>
      </c>
      <c r="K515" s="28" t="str">
        <f t="shared" ca="1" si="49"/>
        <v>No</v>
      </c>
    </row>
    <row r="516" spans="2:11" ht="11.25" hidden="1">
      <c r="B516" s="27">
        <v>514</v>
      </c>
      <c r="C516" s="29">
        <f t="shared" ref="C516:C579" ca="1" si="52">MAX(0.02,MIN(0.12,_xlfn.NORM.INV(RAND(),0.06,0.02)))</f>
        <v>5.5355194745853722E-2</v>
      </c>
      <c r="D516" s="29">
        <f t="shared" ref="D516:D579" ca="1" si="53">MAX(0.02,MIN(0.08,_xlfn.NORM.INV(RAND(),0.05,0.015)))</f>
        <v>6.0394110088011543E-2</v>
      </c>
      <c r="E516" s="29">
        <f t="shared" ref="E516:E579" ca="1" si="54">MAX(-0.1,MIN(0.25,_xlfn.NORM.INV(RAND(),0.07,0.04)))</f>
        <v>0.12291366841757131</v>
      </c>
      <c r="F516" s="30">
        <f ca="1">'Single Simulation'!$AP$4*Results!C516</f>
        <v>104958.76660341398</v>
      </c>
      <c r="G516" s="30">
        <f ca="1">'Single Simulation'!$AP$5*Results!D516</f>
        <v>57123.695792072918</v>
      </c>
      <c r="H516" s="30">
        <f t="shared" ca="1" si="50"/>
        <v>47835.070811341066</v>
      </c>
      <c r="I516" s="30">
        <f t="shared" ca="1" si="51"/>
        <v>5879.5840324362198</v>
      </c>
      <c r="J516" s="25">
        <f ca="1">'Single Simulation'!$AP$7*Results!E516</f>
        <v>1717353.964074715</v>
      </c>
      <c r="K516" s="28" t="str">
        <f t="shared" ref="K516:K579" ca="1" si="55">IF(J516&gt;$N$4,"Yes","No")</f>
        <v>No</v>
      </c>
    </row>
    <row r="517" spans="2:11" ht="11.25" hidden="1">
      <c r="B517" s="27">
        <v>515</v>
      </c>
      <c r="C517" s="24">
        <f t="shared" ca="1" si="52"/>
        <v>6.3593112365825405E-2</v>
      </c>
      <c r="D517" s="24">
        <f t="shared" ca="1" si="53"/>
        <v>6.1810905629270212E-2</v>
      </c>
      <c r="E517" s="24">
        <f t="shared" ca="1" si="54"/>
        <v>0.1052410382089187</v>
      </c>
      <c r="F517" s="25">
        <f ca="1">'Single Simulation'!$AP$4*Results!C517</f>
        <v>120578.6497371017</v>
      </c>
      <c r="G517" s="25">
        <f ca="1">'Single Simulation'!$AP$5*Results!D517</f>
        <v>58463.770136747982</v>
      </c>
      <c r="H517" s="25">
        <f t="shared" ca="1" si="50"/>
        <v>62114.879600353721</v>
      </c>
      <c r="I517" s="25">
        <f t="shared" ca="1" si="51"/>
        <v>6537.0344173632102</v>
      </c>
      <c r="J517" s="25">
        <f ca="1">'Single Simulation'!$AP$7*Results!E517</f>
        <v>1470431.3725094844</v>
      </c>
      <c r="K517" s="28" t="str">
        <f t="shared" ca="1" si="55"/>
        <v>No</v>
      </c>
    </row>
    <row r="518" spans="2:11" ht="11.25" hidden="1">
      <c r="B518" s="27">
        <v>516</v>
      </c>
      <c r="C518" s="29">
        <f t="shared" ca="1" si="52"/>
        <v>4.6422023956801763E-2</v>
      </c>
      <c r="D518" s="29">
        <f t="shared" ca="1" si="53"/>
        <v>5.0078069038612755E-2</v>
      </c>
      <c r="E518" s="29">
        <f t="shared" ca="1" si="54"/>
        <v>-4.8884084556144736E-2</v>
      </c>
      <c r="F518" s="30">
        <f ca="1">'Single Simulation'!$AP$4*Results!C518</f>
        <v>88020.616675818063</v>
      </c>
      <c r="G518" s="30">
        <f ca="1">'Single Simulation'!$AP$5*Results!D518</f>
        <v>47366.280874862816</v>
      </c>
      <c r="H518" s="30">
        <f t="shared" ca="1" si="50"/>
        <v>40654.335800955247</v>
      </c>
      <c r="I518" s="30">
        <f t="shared" ca="1" si="51"/>
        <v>-1987.3499888677984</v>
      </c>
      <c r="J518" s="25">
        <f ca="1">'Single Simulation'!$AP$7*Results!E518</f>
        <v>-683010.09540658479</v>
      </c>
      <c r="K518" s="28" t="str">
        <f t="shared" ca="1" si="55"/>
        <v>No</v>
      </c>
    </row>
    <row r="519" spans="2:11" ht="11.25" hidden="1">
      <c r="B519" s="27">
        <v>517</v>
      </c>
      <c r="C519" s="24">
        <f t="shared" ca="1" si="52"/>
        <v>3.336530371405743E-2</v>
      </c>
      <c r="D519" s="24">
        <f t="shared" ca="1" si="53"/>
        <v>6.52062251266428E-2</v>
      </c>
      <c r="E519" s="24">
        <f t="shared" ca="1" si="54"/>
        <v>7.2537836486495255E-2</v>
      </c>
      <c r="F519" s="25">
        <f ca="1">'Single Simulation'!$AP$4*Results!C519</f>
        <v>63263.820879938015</v>
      </c>
      <c r="G519" s="25">
        <f ca="1">'Single Simulation'!$AP$5*Results!D519</f>
        <v>61675.228966129856</v>
      </c>
      <c r="H519" s="25">
        <f t="shared" ca="1" si="50"/>
        <v>1588.591913808159</v>
      </c>
      <c r="I519" s="25">
        <f t="shared" ca="1" si="51"/>
        <v>115.2330204875848</v>
      </c>
      <c r="J519" s="25">
        <f ca="1">'Single Simulation'!$AP$7*Results!E519</f>
        <v>1013501.1235062737</v>
      </c>
      <c r="K519" s="28" t="str">
        <f t="shared" ca="1" si="55"/>
        <v>No</v>
      </c>
    </row>
    <row r="520" spans="2:11" ht="11.25" hidden="1">
      <c r="B520" s="27">
        <v>518</v>
      </c>
      <c r="C520" s="29">
        <f t="shared" ca="1" si="52"/>
        <v>6.824639488692491E-2</v>
      </c>
      <c r="D520" s="29">
        <f t="shared" ca="1" si="53"/>
        <v>6.2485509677247732E-2</v>
      </c>
      <c r="E520" s="29">
        <f t="shared" ca="1" si="54"/>
        <v>4.1890826383179786E-2</v>
      </c>
      <c r="F520" s="30">
        <f ca="1">'Single Simulation'!$AP$4*Results!C520</f>
        <v>129401.72038682445</v>
      </c>
      <c r="G520" s="30">
        <f ca="1">'Single Simulation'!$AP$5*Results!D520</f>
        <v>59101.843557493994</v>
      </c>
      <c r="H520" s="30">
        <f t="shared" ca="1" si="50"/>
        <v>70299.87682933046</v>
      </c>
      <c r="I520" s="30">
        <f t="shared" ca="1" si="51"/>
        <v>2944.9199350164058</v>
      </c>
      <c r="J520" s="25">
        <f ca="1">'Single Simulation'!$AP$7*Results!E520</f>
        <v>585300.05388102925</v>
      </c>
      <c r="K520" s="28" t="str">
        <f t="shared" ca="1" si="55"/>
        <v>No</v>
      </c>
    </row>
    <row r="521" spans="2:11" ht="11.25" hidden="1">
      <c r="B521" s="27">
        <v>519</v>
      </c>
      <c r="C521" s="24">
        <f t="shared" ca="1" si="52"/>
        <v>9.5198580538484789E-2</v>
      </c>
      <c r="D521" s="24">
        <f t="shared" ca="1" si="53"/>
        <v>3.3279588889840707E-2</v>
      </c>
      <c r="E521" s="24">
        <f t="shared" ca="1" si="54"/>
        <v>1.1858764133372279E-3</v>
      </c>
      <c r="F521" s="25">
        <f ca="1">'Single Simulation'!$AP$4*Results!C521</f>
        <v>180505.65338248693</v>
      </c>
      <c r="G521" s="25">
        <f ca="1">'Single Simulation'!$AP$5*Results!D521</f>
        <v>31477.458796199342</v>
      </c>
      <c r="H521" s="25">
        <f t="shared" ca="1" si="50"/>
        <v>149028.19458628757</v>
      </c>
      <c r="I521" s="25">
        <f t="shared" ca="1" si="51"/>
        <v>176.72902088210918</v>
      </c>
      <c r="J521" s="25">
        <f ca="1">'Single Simulation'!$AP$7*Results!E521</f>
        <v>16569.105662265407</v>
      </c>
      <c r="K521" s="28" t="str">
        <f t="shared" ca="1" si="55"/>
        <v>No</v>
      </c>
    </row>
    <row r="522" spans="2:11" ht="11.25" hidden="1">
      <c r="B522" s="27">
        <v>520</v>
      </c>
      <c r="C522" s="29">
        <f t="shared" ca="1" si="52"/>
        <v>8.9130064610475263E-2</v>
      </c>
      <c r="D522" s="29">
        <f t="shared" ca="1" si="53"/>
        <v>5.0208358636036177E-2</v>
      </c>
      <c r="E522" s="29">
        <f t="shared" ca="1" si="54"/>
        <v>7.6153311020324979E-2</v>
      </c>
      <c r="F522" s="30">
        <f ca="1">'Single Simulation'!$AP$4*Results!C522</f>
        <v>168999.16424734102</v>
      </c>
      <c r="G522" s="30">
        <f ca="1">'Single Simulation'!$AP$5*Results!D522</f>
        <v>47489.515132594919</v>
      </c>
      <c r="H522" s="30">
        <f t="shared" ca="1" si="50"/>
        <v>121509.64911474611</v>
      </c>
      <c r="I522" s="30">
        <f t="shared" ca="1" si="51"/>
        <v>9253.3621010058159</v>
      </c>
      <c r="J522" s="25">
        <f ca="1">'Single Simulation'!$AP$7*Results!E522</f>
        <v>1064016.6569096851</v>
      </c>
      <c r="K522" s="28" t="str">
        <f t="shared" ca="1" si="55"/>
        <v>No</v>
      </c>
    </row>
    <row r="523" spans="2:11" ht="11.25" hidden="1">
      <c r="B523" s="27">
        <v>521</v>
      </c>
      <c r="C523" s="24">
        <f t="shared" ca="1" si="52"/>
        <v>4.6281803902718438E-2</v>
      </c>
      <c r="D523" s="24">
        <f t="shared" ca="1" si="53"/>
        <v>4.0163217551737553E-2</v>
      </c>
      <c r="E523" s="24">
        <f t="shared" ca="1" si="54"/>
        <v>0.15169086858446057</v>
      </c>
      <c r="F523" s="25">
        <f ca="1">'Single Simulation'!$AP$4*Results!C523</f>
        <v>87754.745983876332</v>
      </c>
      <c r="G523" s="25">
        <f ca="1">'Single Simulation'!$AP$5*Results!D523</f>
        <v>37988.330618878033</v>
      </c>
      <c r="H523" s="25">
        <f t="shared" ca="1" si="50"/>
        <v>49766.415364998298</v>
      </c>
      <c r="I523" s="25">
        <f t="shared" ca="1" si="51"/>
        <v>7549.110773051636</v>
      </c>
      <c r="J523" s="25">
        <f ca="1">'Single Simulation'!$AP$7*Results!E523</f>
        <v>2119429.9855443807</v>
      </c>
      <c r="K523" s="28" t="str">
        <f t="shared" ca="1" si="55"/>
        <v>No</v>
      </c>
    </row>
    <row r="524" spans="2:11" ht="11.25" hidden="1">
      <c r="B524" s="27">
        <v>522</v>
      </c>
      <c r="C524" s="29">
        <f t="shared" ca="1" si="52"/>
        <v>8.5335789896502701E-2</v>
      </c>
      <c r="D524" s="29">
        <f t="shared" ca="1" si="53"/>
        <v>4.5998567000433664E-2</v>
      </c>
      <c r="E524" s="29">
        <f t="shared" ca="1" si="54"/>
        <v>5.0791980945659718E-2</v>
      </c>
      <c r="F524" s="30">
        <f ca="1">'Single Simulation'!$AP$4*Results!C524</f>
        <v>161804.85491537157</v>
      </c>
      <c r="G524" s="30">
        <f ca="1">'Single Simulation'!$AP$5*Results!D524</f>
        <v>43507.688818907634</v>
      </c>
      <c r="H524" s="30">
        <f t="shared" ca="1" si="50"/>
        <v>118297.16609646394</v>
      </c>
      <c r="I524" s="30">
        <f t="shared" ca="1" si="51"/>
        <v>6008.5474062971398</v>
      </c>
      <c r="J524" s="25">
        <f ca="1">'Single Simulation'!$AP$7*Results!E524</f>
        <v>709667.28878272022</v>
      </c>
      <c r="K524" s="28" t="str">
        <f t="shared" ca="1" si="55"/>
        <v>No</v>
      </c>
    </row>
    <row r="525" spans="2:11" ht="11.25" hidden="1">
      <c r="B525" s="27">
        <v>523</v>
      </c>
      <c r="C525" s="24">
        <f t="shared" ca="1" si="52"/>
        <v>6.0949061755263045E-2</v>
      </c>
      <c r="D525" s="24">
        <f t="shared" ca="1" si="53"/>
        <v>4.1802235006208992E-2</v>
      </c>
      <c r="E525" s="24">
        <f t="shared" ca="1" si="54"/>
        <v>6.3753679608184774E-2</v>
      </c>
      <c r="F525" s="25">
        <f ca="1">'Single Simulation'!$AP$4*Results!C525</f>
        <v>115565.2757945881</v>
      </c>
      <c r="G525" s="25">
        <f ca="1">'Single Simulation'!$AP$5*Results!D525</f>
        <v>39538.593290696248</v>
      </c>
      <c r="H525" s="25">
        <f t="shared" ca="1" si="50"/>
        <v>76026.682503891847</v>
      </c>
      <c r="I525" s="25">
        <f t="shared" ca="1" si="51"/>
        <v>4846.9807580263077</v>
      </c>
      <c r="J525" s="25">
        <f ca="1">'Single Simulation'!$AP$7*Results!E525</f>
        <v>890768.58423512371</v>
      </c>
      <c r="K525" s="28" t="str">
        <f t="shared" ca="1" si="55"/>
        <v>No</v>
      </c>
    </row>
    <row r="526" spans="2:11" ht="11.25" hidden="1">
      <c r="B526" s="27">
        <v>524</v>
      </c>
      <c r="C526" s="29">
        <f t="shared" ca="1" si="52"/>
        <v>5.6096245412852901E-2</v>
      </c>
      <c r="D526" s="29">
        <f t="shared" ca="1" si="53"/>
        <v>3.7948979607913935E-2</v>
      </c>
      <c r="E526" s="29">
        <f t="shared" ca="1" si="54"/>
        <v>0.1178067590613977</v>
      </c>
      <c r="F526" s="30">
        <f ca="1">'Single Simulation'!$AP$4*Results!C526</f>
        <v>106363.86985263879</v>
      </c>
      <c r="G526" s="30">
        <f ca="1">'Single Simulation'!$AP$5*Results!D526</f>
        <v>35893.996344725805</v>
      </c>
      <c r="H526" s="30">
        <f t="shared" ca="1" si="50"/>
        <v>70469.873507912984</v>
      </c>
      <c r="I526" s="30">
        <f t="shared" ca="1" si="51"/>
        <v>8301.8274094338776</v>
      </c>
      <c r="J526" s="25">
        <f ca="1">'Single Simulation'!$AP$7*Results!E526</f>
        <v>1646000.0525048506</v>
      </c>
      <c r="K526" s="28" t="str">
        <f t="shared" ca="1" si="55"/>
        <v>No</v>
      </c>
    </row>
    <row r="527" spans="2:11" ht="11.25" hidden="1">
      <c r="B527" s="27">
        <v>525</v>
      </c>
      <c r="C527" s="24">
        <f t="shared" ca="1" si="52"/>
        <v>4.4634775480753147E-2</v>
      </c>
      <c r="D527" s="24">
        <f t="shared" ca="1" si="53"/>
        <v>7.768600030230674E-2</v>
      </c>
      <c r="E527" s="24">
        <f t="shared" ca="1" si="54"/>
        <v>5.5696052668675521E-2</v>
      </c>
      <c r="F527" s="25">
        <f ca="1">'Single Simulation'!$AP$4*Results!C527</f>
        <v>84631.821883908415</v>
      </c>
      <c r="G527" s="25">
        <f ca="1">'Single Simulation'!$AP$5*Results!D527</f>
        <v>73479.209182896084</v>
      </c>
      <c r="H527" s="25">
        <f t="shared" ca="1" si="50"/>
        <v>11152.612701012331</v>
      </c>
      <c r="I527" s="25">
        <f t="shared" ca="1" si="51"/>
        <v>621.15650438892237</v>
      </c>
      <c r="J527" s="25">
        <f ca="1">'Single Simulation'!$AP$7*Results!E527</f>
        <v>778187.1460293202</v>
      </c>
      <c r="K527" s="28" t="str">
        <f t="shared" ca="1" si="55"/>
        <v>No</v>
      </c>
    </row>
    <row r="528" spans="2:11" ht="11.25" hidden="1">
      <c r="B528" s="27">
        <v>526</v>
      </c>
      <c r="C528" s="29">
        <f t="shared" ca="1" si="52"/>
        <v>0.10711430762638455</v>
      </c>
      <c r="D528" s="29">
        <f t="shared" ca="1" si="53"/>
        <v>5.9984038203003652E-2</v>
      </c>
      <c r="E528" s="29">
        <f t="shared" ca="1" si="54"/>
        <v>2.7616336113363435E-2</v>
      </c>
      <c r="F528" s="30">
        <f ca="1">'Single Simulation'!$AP$4*Results!C528</f>
        <v>203099.01655410737</v>
      </c>
      <c r="G528" s="30">
        <f ca="1">'Single Simulation'!$AP$5*Results!D528</f>
        <v>56735.829796896636</v>
      </c>
      <c r="H528" s="30">
        <f t="shared" ca="1" si="50"/>
        <v>146363.18675721073</v>
      </c>
      <c r="I528" s="30">
        <f t="shared" ca="1" si="51"/>
        <v>4042.0149601101157</v>
      </c>
      <c r="J528" s="25">
        <f ca="1">'Single Simulation'!$AP$7*Results!E528</f>
        <v>385856.38935111626</v>
      </c>
      <c r="K528" s="28" t="str">
        <f t="shared" ca="1" si="55"/>
        <v>No</v>
      </c>
    </row>
    <row r="529" spans="2:11" ht="11.25" hidden="1">
      <c r="B529" s="27">
        <v>527</v>
      </c>
      <c r="C529" s="24">
        <f t="shared" ca="1" si="52"/>
        <v>7.6787614384691033E-2</v>
      </c>
      <c r="D529" s="24">
        <f t="shared" ca="1" si="53"/>
        <v>3.6493723172635648E-2</v>
      </c>
      <c r="E529" s="24">
        <f t="shared" ca="1" si="54"/>
        <v>0.11254713605413419</v>
      </c>
      <c r="F529" s="25">
        <f ca="1">'Single Simulation'!$AP$4*Results!C529</f>
        <v>145596.69301568891</v>
      </c>
      <c r="G529" s="25">
        <f ca="1">'Single Simulation'!$AP$5*Results!D529</f>
        <v>34517.543810080468</v>
      </c>
      <c r="H529" s="25">
        <f t="shared" ca="1" si="50"/>
        <v>111079.14920560844</v>
      </c>
      <c r="I529" s="25">
        <f t="shared" ca="1" si="51"/>
        <v>12501.640118421084</v>
      </c>
      <c r="J529" s="25">
        <f ca="1">'Single Simulation'!$AP$7*Results!E529</f>
        <v>1572512.4205974191</v>
      </c>
      <c r="K529" s="28" t="str">
        <f t="shared" ca="1" si="55"/>
        <v>No</v>
      </c>
    </row>
    <row r="530" spans="2:11" ht="11.25" hidden="1">
      <c r="B530" s="27">
        <v>528</v>
      </c>
      <c r="C530" s="29">
        <f t="shared" ca="1" si="52"/>
        <v>3.3352544315201384E-2</v>
      </c>
      <c r="D530" s="29">
        <f t="shared" ca="1" si="53"/>
        <v>7.5334578063500662E-2</v>
      </c>
      <c r="E530" s="29">
        <f t="shared" ca="1" si="54"/>
        <v>8.4027018074996712E-2</v>
      </c>
      <c r="F530" s="30">
        <f ca="1">'Single Simulation'!$AP$4*Results!C530</f>
        <v>63239.627834051709</v>
      </c>
      <c r="G530" s="30">
        <f ca="1">'Single Simulation'!$AP$5*Results!D530</f>
        <v>71255.119309686139</v>
      </c>
      <c r="H530" s="30">
        <f t="shared" ca="1" si="50"/>
        <v>-8015.4914756344297</v>
      </c>
      <c r="I530" s="30">
        <f t="shared" ca="1" si="51"/>
        <v>-673.51784710311631</v>
      </c>
      <c r="J530" s="25">
        <f ca="1">'Single Simulation'!$AP$7*Results!E530</f>
        <v>1174028.3602164795</v>
      </c>
      <c r="K530" s="28" t="str">
        <f t="shared" ca="1" si="55"/>
        <v>No</v>
      </c>
    </row>
    <row r="531" spans="2:11" ht="11.25" hidden="1">
      <c r="B531" s="27">
        <v>529</v>
      </c>
      <c r="C531" s="24">
        <f t="shared" ca="1" si="52"/>
        <v>8.0440694724557157E-2</v>
      </c>
      <c r="D531" s="24">
        <f t="shared" ca="1" si="53"/>
        <v>4.8168716872595212E-2</v>
      </c>
      <c r="E531" s="24">
        <f t="shared" ca="1" si="54"/>
        <v>7.5730755061805918E-2</v>
      </c>
      <c r="F531" s="25">
        <f ca="1">'Single Simulation'!$AP$4*Results!C531</f>
        <v>152523.2842513606</v>
      </c>
      <c r="G531" s="25">
        <f ca="1">'Single Simulation'!$AP$5*Results!D531</f>
        <v>45560.322443940058</v>
      </c>
      <c r="H531" s="25">
        <f t="shared" ca="1" si="50"/>
        <v>106962.96180742054</v>
      </c>
      <c r="I531" s="25">
        <f t="shared" ca="1" si="51"/>
        <v>8100.3858613230659</v>
      </c>
      <c r="J531" s="25">
        <f ca="1">'Single Simulation'!$AP$7*Results!E531</f>
        <v>1058112.6906563896</v>
      </c>
      <c r="K531" s="28" t="str">
        <f t="shared" ca="1" si="55"/>
        <v>No</v>
      </c>
    </row>
    <row r="532" spans="2:11" ht="11.25" hidden="1">
      <c r="B532" s="27">
        <v>530</v>
      </c>
      <c r="C532" s="29">
        <f t="shared" ca="1" si="52"/>
        <v>6.0932570523437327E-2</v>
      </c>
      <c r="D532" s="29">
        <f t="shared" ca="1" si="53"/>
        <v>4.3971312882926016E-2</v>
      </c>
      <c r="E532" s="29">
        <f t="shared" ca="1" si="54"/>
        <v>9.0057305771660115E-2</v>
      </c>
      <c r="F532" s="30">
        <f ca="1">'Single Simulation'!$AP$4*Results!C532</f>
        <v>115534.00683491511</v>
      </c>
      <c r="G532" s="30">
        <f ca="1">'Single Simulation'!$AP$5*Results!D532</f>
        <v>41590.212970137385</v>
      </c>
      <c r="H532" s="30">
        <f t="shared" ca="1" si="50"/>
        <v>73943.793864777719</v>
      </c>
      <c r="I532" s="30">
        <f t="shared" ca="1" si="51"/>
        <v>6659.178853996892</v>
      </c>
      <c r="J532" s="25">
        <f ca="1">'Single Simulation'!$AP$7*Results!E532</f>
        <v>1258283.745428751</v>
      </c>
      <c r="K532" s="28" t="str">
        <f t="shared" ca="1" si="55"/>
        <v>No</v>
      </c>
    </row>
    <row r="533" spans="2:11" ht="11.25" hidden="1">
      <c r="B533" s="27">
        <v>531</v>
      </c>
      <c r="C533" s="24">
        <f t="shared" ca="1" si="52"/>
        <v>5.9605221690911835E-2</v>
      </c>
      <c r="D533" s="24">
        <f t="shared" ca="1" si="53"/>
        <v>3.6676044290645249E-2</v>
      </c>
      <c r="E533" s="24">
        <f t="shared" ca="1" si="54"/>
        <v>2.7720809125397712E-2</v>
      </c>
      <c r="F533" s="25">
        <f ca="1">'Single Simulation'!$AP$4*Results!C533</f>
        <v>113017.22594463034</v>
      </c>
      <c r="G533" s="25">
        <f ca="1">'Single Simulation'!$AP$5*Results!D533</f>
        <v>34689.992018464916</v>
      </c>
      <c r="H533" s="25">
        <f t="shared" ca="1" si="50"/>
        <v>78327.233926165412</v>
      </c>
      <c r="I533" s="25">
        <f t="shared" ca="1" si="51"/>
        <v>2171.2943009876076</v>
      </c>
      <c r="J533" s="25">
        <f ca="1">'Single Simulation'!$AP$7*Results!E533</f>
        <v>387316.08983573905</v>
      </c>
      <c r="K533" s="28" t="str">
        <f t="shared" ca="1" si="55"/>
        <v>No</v>
      </c>
    </row>
    <row r="534" spans="2:11" ht="11.25" hidden="1">
      <c r="B534" s="27">
        <v>532</v>
      </c>
      <c r="C534" s="29">
        <f t="shared" ca="1" si="52"/>
        <v>5.57587568398017E-2</v>
      </c>
      <c r="D534" s="29">
        <f t="shared" ca="1" si="53"/>
        <v>4.1728649898646476E-2</v>
      </c>
      <c r="E534" s="29">
        <f t="shared" ca="1" si="54"/>
        <v>6.4820915672843399E-2</v>
      </c>
      <c r="F534" s="30">
        <f ca="1">'Single Simulation'!$AP$4*Results!C534</f>
        <v>105723.95909931508</v>
      </c>
      <c r="G534" s="30">
        <f ca="1">'Single Simulation'!$AP$5*Results!D534</f>
        <v>39468.992905938489</v>
      </c>
      <c r="H534" s="30">
        <f t="shared" ca="1" si="50"/>
        <v>66254.966193376589</v>
      </c>
      <c r="I534" s="30">
        <f t="shared" ca="1" si="51"/>
        <v>4294.7075765279542</v>
      </c>
      <c r="J534" s="25">
        <f ca="1">'Single Simulation'!$AP$7*Results!E534</f>
        <v>905680.04290234367</v>
      </c>
      <c r="K534" s="28" t="str">
        <f t="shared" ca="1" si="55"/>
        <v>No</v>
      </c>
    </row>
    <row r="535" spans="2:11" ht="11.25" hidden="1">
      <c r="B535" s="27">
        <v>533</v>
      </c>
      <c r="C535" s="24">
        <f t="shared" ca="1" si="52"/>
        <v>0.02</v>
      </c>
      <c r="D535" s="24">
        <f t="shared" ca="1" si="53"/>
        <v>5.2068002004032193E-2</v>
      </c>
      <c r="E535" s="24">
        <f t="shared" ca="1" si="54"/>
        <v>1.4779222621815705E-2</v>
      </c>
      <c r="F535" s="25">
        <f ca="1">'Single Simulation'!$AP$4*Results!C535</f>
        <v>37921.921180225181</v>
      </c>
      <c r="G535" s="25">
        <f ca="1">'Single Simulation'!$AP$5*Results!D535</f>
        <v>49248.456557186546</v>
      </c>
      <c r="H535" s="25">
        <f t="shared" ca="1" si="50"/>
        <v>-11326.535376961365</v>
      </c>
      <c r="I535" s="25">
        <f t="shared" ca="1" si="51"/>
        <v>-167.39738786998328</v>
      </c>
      <c r="J535" s="25">
        <f ca="1">'Single Simulation'!$AP$7*Results!E535</f>
        <v>206495.80215351784</v>
      </c>
      <c r="K535" s="28" t="str">
        <f t="shared" ca="1" si="55"/>
        <v>No</v>
      </c>
    </row>
    <row r="536" spans="2:11" ht="11.25" hidden="1">
      <c r="B536" s="27">
        <v>534</v>
      </c>
      <c r="C536" s="29">
        <f t="shared" ca="1" si="52"/>
        <v>5.5671113123895048E-2</v>
      </c>
      <c r="D536" s="29">
        <f t="shared" ca="1" si="53"/>
        <v>7.0824931849276879E-2</v>
      </c>
      <c r="E536" s="29">
        <f t="shared" ca="1" si="54"/>
        <v>3.3012768328882877E-2</v>
      </c>
      <c r="F536" s="30">
        <f ca="1">'Single Simulation'!$AP$4*Results!C536</f>
        <v>105557.77819498738</v>
      </c>
      <c r="G536" s="30">
        <f ca="1">'Single Simulation'!$AP$5*Results!D536</f>
        <v>66989.67590641744</v>
      </c>
      <c r="H536" s="30">
        <f t="shared" ca="1" si="50"/>
        <v>38568.102288569935</v>
      </c>
      <c r="I536" s="30">
        <f t="shared" ca="1" si="51"/>
        <v>1273.2398257372167</v>
      </c>
      <c r="J536" s="25">
        <f ca="1">'Single Simulation'!$AP$7*Results!E536</f>
        <v>461255.52417880925</v>
      </c>
      <c r="K536" s="28" t="str">
        <f t="shared" ca="1" si="55"/>
        <v>No</v>
      </c>
    </row>
    <row r="537" spans="2:11" ht="11.25" hidden="1">
      <c r="B537" s="27">
        <v>535</v>
      </c>
      <c r="C537" s="24">
        <f t="shared" ca="1" si="52"/>
        <v>8.518199600989286E-2</v>
      </c>
      <c r="D537" s="24">
        <f t="shared" ca="1" si="53"/>
        <v>5.6765848287329418E-2</v>
      </c>
      <c r="E537" s="24">
        <f t="shared" ca="1" si="54"/>
        <v>5.2241016448347097E-2</v>
      </c>
      <c r="F537" s="25">
        <f ca="1">'Single Simulation'!$AP$4*Results!C537</f>
        <v>161513.24693307062</v>
      </c>
      <c r="G537" s="25">
        <f ca="1">'Single Simulation'!$AP$5*Results!D537</f>
        <v>53691.908767574547</v>
      </c>
      <c r="H537" s="25">
        <f t="shared" ca="1" si="50"/>
        <v>107821.33816549607</v>
      </c>
      <c r="I537" s="25">
        <f t="shared" ca="1" si="51"/>
        <v>5632.6963005864745</v>
      </c>
      <c r="J537" s="25">
        <f ca="1">'Single Simulation'!$AP$7*Results!E537</f>
        <v>729913.26220994745</v>
      </c>
      <c r="K537" s="28" t="str">
        <f t="shared" ca="1" si="55"/>
        <v>No</v>
      </c>
    </row>
    <row r="538" spans="2:11" ht="11.25" hidden="1">
      <c r="B538" s="27">
        <v>536</v>
      </c>
      <c r="C538" s="29">
        <f t="shared" ca="1" si="52"/>
        <v>5.6502673763386621E-2</v>
      </c>
      <c r="D538" s="29">
        <f t="shared" ca="1" si="53"/>
        <v>7.1134175994778046E-2</v>
      </c>
      <c r="E538" s="29">
        <f t="shared" ca="1" si="54"/>
        <v>0.10853022256638388</v>
      </c>
      <c r="F538" s="30">
        <f ca="1">'Single Simulation'!$AP$4*Results!C538</f>
        <v>107134.49704635623</v>
      </c>
      <c r="G538" s="30">
        <f ca="1">'Single Simulation'!$AP$5*Results!D538</f>
        <v>67282.174106446299</v>
      </c>
      <c r="H538" s="30">
        <f t="shared" ca="1" si="50"/>
        <v>39852.322939909936</v>
      </c>
      <c r="I538" s="30">
        <f t="shared" ca="1" si="51"/>
        <v>4325.181478455831</v>
      </c>
      <c r="J538" s="25">
        <f ca="1">'Single Simulation'!$AP$7*Results!E538</f>
        <v>1516387.9684486375</v>
      </c>
      <c r="K538" s="28" t="str">
        <f t="shared" ca="1" si="55"/>
        <v>No</v>
      </c>
    </row>
    <row r="539" spans="2:11" ht="11.25" hidden="1">
      <c r="B539" s="27">
        <v>537</v>
      </c>
      <c r="C539" s="24">
        <f t="shared" ca="1" si="52"/>
        <v>3.9577293751984863E-2</v>
      </c>
      <c r="D539" s="24">
        <f t="shared" ca="1" si="53"/>
        <v>7.1339936416004918E-2</v>
      </c>
      <c r="E539" s="24">
        <f t="shared" ca="1" si="54"/>
        <v>3.3507987087052243E-2</v>
      </c>
      <c r="F539" s="25">
        <f ca="1">'Single Simulation'!$AP$4*Results!C539</f>
        <v>75042.350709469421</v>
      </c>
      <c r="G539" s="25">
        <f ca="1">'Single Simulation'!$AP$5*Results!D539</f>
        <v>67476.792351356009</v>
      </c>
      <c r="H539" s="25">
        <f t="shared" ca="1" si="50"/>
        <v>7565.5583581134124</v>
      </c>
      <c r="I539" s="25">
        <f t="shared" ca="1" si="51"/>
        <v>253.50663177000439</v>
      </c>
      <c r="J539" s="25">
        <f ca="1">'Single Simulation'!$AP$7*Results!E539</f>
        <v>468174.73754519463</v>
      </c>
      <c r="K539" s="28" t="str">
        <f t="shared" ca="1" si="55"/>
        <v>No</v>
      </c>
    </row>
    <row r="540" spans="2:11" ht="11.25" hidden="1">
      <c r="B540" s="27">
        <v>538</v>
      </c>
      <c r="C540" s="29">
        <f t="shared" ca="1" si="52"/>
        <v>7.7601207541649439E-2</v>
      </c>
      <c r="D540" s="29">
        <f t="shared" ca="1" si="53"/>
        <v>5.4010329819968977E-2</v>
      </c>
      <c r="E540" s="29">
        <f t="shared" ca="1" si="54"/>
        <v>9.0626567298125182E-2</v>
      </c>
      <c r="F540" s="30">
        <f ca="1">'Single Simulation'!$AP$4*Results!C540</f>
        <v>147139.34379423628</v>
      </c>
      <c r="G540" s="30">
        <f ca="1">'Single Simulation'!$AP$5*Results!D540</f>
        <v>51085.604966598723</v>
      </c>
      <c r="H540" s="30">
        <f t="shared" ca="1" si="50"/>
        <v>96053.738827637557</v>
      </c>
      <c r="I540" s="30">
        <f t="shared" ca="1" si="51"/>
        <v>8705.0206260994346</v>
      </c>
      <c r="J540" s="25">
        <f ca="1">'Single Simulation'!$AP$7*Results!E540</f>
        <v>1266237.4868771695</v>
      </c>
      <c r="K540" s="28" t="str">
        <f t="shared" ca="1" si="55"/>
        <v>No</v>
      </c>
    </row>
    <row r="541" spans="2:11" ht="11.25" hidden="1">
      <c r="B541" s="27">
        <v>539</v>
      </c>
      <c r="C541" s="24">
        <f t="shared" ca="1" si="52"/>
        <v>0.02</v>
      </c>
      <c r="D541" s="24">
        <f t="shared" ca="1" si="53"/>
        <v>3.3583242588628423E-2</v>
      </c>
      <c r="E541" s="24">
        <f t="shared" ca="1" si="54"/>
        <v>8.2900789128594055E-2</v>
      </c>
      <c r="F541" s="25">
        <f ca="1">'Single Simulation'!$AP$4*Results!C541</f>
        <v>37921.921180225181</v>
      </c>
      <c r="G541" s="25">
        <f ca="1">'Single Simulation'!$AP$5*Results!D541</f>
        <v>31764.669278983332</v>
      </c>
      <c r="H541" s="25">
        <f t="shared" ca="1" si="50"/>
        <v>6157.2519012418488</v>
      </c>
      <c r="I541" s="25">
        <f t="shared" ca="1" si="51"/>
        <v>510.44104147648534</v>
      </c>
      <c r="J541" s="25">
        <f ca="1">'Single Simulation'!$AP$7*Results!E541</f>
        <v>1158292.6509950322</v>
      </c>
      <c r="K541" s="28" t="str">
        <f t="shared" ca="1" si="55"/>
        <v>No</v>
      </c>
    </row>
    <row r="542" spans="2:11" ht="11.25" hidden="1">
      <c r="B542" s="27">
        <v>540</v>
      </c>
      <c r="C542" s="29">
        <f t="shared" ca="1" si="52"/>
        <v>5.1866425656717882E-2</v>
      </c>
      <c r="D542" s="29">
        <f t="shared" ca="1" si="53"/>
        <v>3.4496813889933454E-2</v>
      </c>
      <c r="E542" s="29">
        <f t="shared" ca="1" si="54"/>
        <v>5.5479245347849294E-2</v>
      </c>
      <c r="F542" s="30">
        <f ca="1">'Single Simulation'!$AP$4*Results!C542</f>
        <v>98343.725282703221</v>
      </c>
      <c r="G542" s="30">
        <f ca="1">'Single Simulation'!$AP$5*Results!D542</f>
        <v>32628.769586514412</v>
      </c>
      <c r="H542" s="30">
        <f t="shared" ca="1" si="50"/>
        <v>65714.955696188816</v>
      </c>
      <c r="I542" s="30">
        <f t="shared" ca="1" si="51"/>
        <v>3645.8161500919059</v>
      </c>
      <c r="J542" s="25">
        <f ca="1">'Single Simulation'!$AP$7*Results!E542</f>
        <v>775157.90675386053</v>
      </c>
      <c r="K542" s="28" t="str">
        <f t="shared" ca="1" si="55"/>
        <v>No</v>
      </c>
    </row>
    <row r="543" spans="2:11" ht="11.25" hidden="1">
      <c r="B543" s="27">
        <v>541</v>
      </c>
      <c r="C543" s="24">
        <f t="shared" ca="1" si="52"/>
        <v>5.1610496919774228E-2</v>
      </c>
      <c r="D543" s="24">
        <f t="shared" ca="1" si="53"/>
        <v>3.4304985824097113E-2</v>
      </c>
      <c r="E543" s="24">
        <f t="shared" ca="1" si="54"/>
        <v>2.906423226616376E-2</v>
      </c>
      <c r="F543" s="25">
        <f ca="1">'Single Simulation'!$AP$4*Results!C543</f>
        <v>97858.459813196634</v>
      </c>
      <c r="G543" s="25">
        <f ca="1">'Single Simulation'!$AP$5*Results!D543</f>
        <v>32447.329243056283</v>
      </c>
      <c r="H543" s="25">
        <f t="shared" ca="1" si="50"/>
        <v>65411.130570140347</v>
      </c>
      <c r="I543" s="25">
        <f t="shared" ca="1" si="51"/>
        <v>1901.1242916829237</v>
      </c>
      <c r="J543" s="25">
        <f ca="1">'Single Simulation'!$AP$7*Results!E543</f>
        <v>406086.44374289212</v>
      </c>
      <c r="K543" s="28" t="str">
        <f t="shared" ca="1" si="55"/>
        <v>No</v>
      </c>
    </row>
    <row r="544" spans="2:11" ht="11.25" hidden="1">
      <c r="B544" s="27">
        <v>542</v>
      </c>
      <c r="C544" s="29">
        <f t="shared" ca="1" si="52"/>
        <v>6.8495274332019324E-2</v>
      </c>
      <c r="D544" s="29">
        <f t="shared" ca="1" si="53"/>
        <v>3.9240344870368225E-2</v>
      </c>
      <c r="E544" s="29">
        <f t="shared" ca="1" si="54"/>
        <v>8.1561802090384702E-2</v>
      </c>
      <c r="F544" s="30">
        <f ca="1">'Single Simulation'!$AP$4*Results!C544</f>
        <v>129873.61972183688</v>
      </c>
      <c r="G544" s="30">
        <f ca="1">'Single Simulation'!$AP$5*Results!D544</f>
        <v>37115.432612292112</v>
      </c>
      <c r="H544" s="30">
        <f t="shared" ca="1" si="50"/>
        <v>92758.187109544757</v>
      </c>
      <c r="I544" s="30">
        <f t="shared" ca="1" si="51"/>
        <v>7565.5248992915631</v>
      </c>
      <c r="J544" s="25">
        <f ca="1">'Single Simulation'!$AP$7*Results!E544</f>
        <v>1139584.2784639853</v>
      </c>
      <c r="K544" s="28" t="str">
        <f t="shared" ca="1" si="55"/>
        <v>No</v>
      </c>
    </row>
    <row r="545" spans="2:11" ht="11.25" hidden="1">
      <c r="B545" s="27">
        <v>543</v>
      </c>
      <c r="C545" s="24">
        <f t="shared" ca="1" si="52"/>
        <v>7.2963581711037978E-2</v>
      </c>
      <c r="D545" s="24">
        <f t="shared" ca="1" si="53"/>
        <v>0.02</v>
      </c>
      <c r="E545" s="24">
        <f t="shared" ca="1" si="54"/>
        <v>3.9405319037391619E-2</v>
      </c>
      <c r="F545" s="25">
        <f ca="1">'Single Simulation'!$AP$4*Results!C545</f>
        <v>138345.95973364508</v>
      </c>
      <c r="G545" s="25">
        <f ca="1">'Single Simulation'!$AP$5*Results!D545</f>
        <v>18916.975747743385</v>
      </c>
      <c r="H545" s="25">
        <f t="shared" ca="1" si="50"/>
        <v>119428.98398590169</v>
      </c>
      <c r="I545" s="25">
        <f t="shared" ca="1" si="51"/>
        <v>4706.1372162759908</v>
      </c>
      <c r="J545" s="25">
        <f ca="1">'Single Simulation'!$AP$7*Results!E545</f>
        <v>550572.46053864458</v>
      </c>
      <c r="K545" s="28" t="str">
        <f t="shared" ca="1" si="55"/>
        <v>No</v>
      </c>
    </row>
    <row r="546" spans="2:11" ht="11.25" hidden="1">
      <c r="B546" s="27">
        <v>544</v>
      </c>
      <c r="C546" s="29">
        <f t="shared" ca="1" si="52"/>
        <v>0.02</v>
      </c>
      <c r="D546" s="29">
        <f t="shared" ca="1" si="53"/>
        <v>5.4546227155432801E-2</v>
      </c>
      <c r="E546" s="29">
        <f t="shared" ca="1" si="54"/>
        <v>7.1942622438149972E-2</v>
      </c>
      <c r="F546" s="30">
        <f ca="1">'Single Simulation'!$AP$4*Results!C546</f>
        <v>37921.921180225181</v>
      </c>
      <c r="G546" s="30">
        <f ca="1">'Single Simulation'!$AP$5*Results!D546</f>
        <v>51592.482811511196</v>
      </c>
      <c r="H546" s="30">
        <f t="shared" ca="1" si="50"/>
        <v>-13670.561631286015</v>
      </c>
      <c r="I546" s="30">
        <f t="shared" ca="1" si="51"/>
        <v>-983.49605395706931</v>
      </c>
      <c r="J546" s="25">
        <f ca="1">'Single Simulation'!$AP$7*Results!E546</f>
        <v>1005184.772537673</v>
      </c>
      <c r="K546" s="28" t="str">
        <f t="shared" ca="1" si="55"/>
        <v>No</v>
      </c>
    </row>
    <row r="547" spans="2:11" ht="11.25" hidden="1">
      <c r="B547" s="27">
        <v>545</v>
      </c>
      <c r="C547" s="24">
        <f t="shared" ca="1" si="52"/>
        <v>5.6168904280367402E-2</v>
      </c>
      <c r="D547" s="24">
        <f t="shared" ca="1" si="53"/>
        <v>5.2766494717324898E-2</v>
      </c>
      <c r="E547" s="24">
        <f t="shared" ca="1" si="54"/>
        <v>9.6683875351922355E-2</v>
      </c>
      <c r="F547" s="25">
        <f ca="1">'Single Simulation'!$AP$4*Results!C547</f>
        <v>106501.63804498526</v>
      </c>
      <c r="G547" s="25">
        <f ca="1">'Single Simulation'!$AP$5*Results!D547</f>
        <v>49909.125043053224</v>
      </c>
      <c r="H547" s="25">
        <f t="shared" ca="1" si="50"/>
        <v>56592.513001932035</v>
      </c>
      <c r="I547" s="25">
        <f t="shared" ca="1" si="51"/>
        <v>5471.5834729308417</v>
      </c>
      <c r="J547" s="25">
        <f ca="1">'Single Simulation'!$AP$7*Results!E547</f>
        <v>1350870.4014401778</v>
      </c>
      <c r="K547" s="28" t="str">
        <f t="shared" ca="1" si="55"/>
        <v>No</v>
      </c>
    </row>
    <row r="548" spans="2:11" ht="11.25" hidden="1">
      <c r="B548" s="27">
        <v>546</v>
      </c>
      <c r="C548" s="29">
        <f t="shared" ca="1" si="52"/>
        <v>6.522915164445145E-2</v>
      </c>
      <c r="D548" s="29">
        <f t="shared" ca="1" si="53"/>
        <v>4.9486942177402161E-2</v>
      </c>
      <c r="E548" s="29">
        <f t="shared" ca="1" si="54"/>
        <v>3.8961044238674108E-2</v>
      </c>
      <c r="F548" s="30">
        <f ca="1">'Single Simulation'!$AP$4*Results!C548</f>
        <v>123680.73736569217</v>
      </c>
      <c r="G548" s="30">
        <f ca="1">'Single Simulation'!$AP$5*Results!D548</f>
        <v>46807.164249994792</v>
      </c>
      <c r="H548" s="30">
        <f t="shared" ca="1" si="50"/>
        <v>76873.573115697378</v>
      </c>
      <c r="I548" s="30">
        <f t="shared" ca="1" si="51"/>
        <v>2995.0746829456343</v>
      </c>
      <c r="J548" s="25">
        <f ca="1">'Single Simulation'!$AP$7*Results!E548</f>
        <v>544365.03790990997</v>
      </c>
      <c r="K548" s="28" t="str">
        <f t="shared" ca="1" si="55"/>
        <v>No</v>
      </c>
    </row>
    <row r="549" spans="2:11" ht="11.25" hidden="1">
      <c r="B549" s="27">
        <v>547</v>
      </c>
      <c r="C549" s="24">
        <f t="shared" ca="1" si="52"/>
        <v>6.6321303873059706E-2</v>
      </c>
      <c r="D549" s="24">
        <f t="shared" ca="1" si="53"/>
        <v>6.7206898926875314E-2</v>
      </c>
      <c r="E549" s="24">
        <f t="shared" ca="1" si="54"/>
        <v>9.1559696843226762E-2</v>
      </c>
      <c r="F549" s="25">
        <f ca="1">'Single Simulation'!$AP$4*Results!C549</f>
        <v>125751.56290219665</v>
      </c>
      <c r="G549" s="25">
        <f ca="1">'Single Simulation'!$AP$5*Results!D549</f>
        <v>63567.563854037056</v>
      </c>
      <c r="H549" s="25">
        <f t="shared" ca="1" si="50"/>
        <v>62183.999048159589</v>
      </c>
      <c r="I549" s="25">
        <f t="shared" ca="1" si="51"/>
        <v>5693.5481013489934</v>
      </c>
      <c r="J549" s="25">
        <f ca="1">'Single Simulation'!$AP$7*Results!E549</f>
        <v>1279275.2046827374</v>
      </c>
      <c r="K549" s="28" t="str">
        <f t="shared" ca="1" si="55"/>
        <v>No</v>
      </c>
    </row>
    <row r="550" spans="2:11" ht="11.25" hidden="1">
      <c r="B550" s="27">
        <v>548</v>
      </c>
      <c r="C550" s="29">
        <f t="shared" ca="1" si="52"/>
        <v>7.7280345414296236E-2</v>
      </c>
      <c r="D550" s="29">
        <f t="shared" ca="1" si="53"/>
        <v>5.4795808462110157E-2</v>
      </c>
      <c r="E550" s="29">
        <f t="shared" ca="1" si="54"/>
        <v>2.0756475247159227E-2</v>
      </c>
      <c r="F550" s="30">
        <f ca="1">'Single Simulation'!$AP$4*Results!C550</f>
        <v>146530.95837907592</v>
      </c>
      <c r="G550" s="30">
        <f ca="1">'Single Simulation'!$AP$5*Results!D550</f>
        <v>51828.548987786475</v>
      </c>
      <c r="H550" s="30">
        <f t="shared" ca="1" si="50"/>
        <v>94702.409391289446</v>
      </c>
      <c r="I550" s="30">
        <f t="shared" ca="1" si="51"/>
        <v>1965.6882163766388</v>
      </c>
      <c r="J550" s="25">
        <f ca="1">'Single Simulation'!$AP$7*Results!E550</f>
        <v>290010.17954185262</v>
      </c>
      <c r="K550" s="28" t="str">
        <f t="shared" ca="1" si="55"/>
        <v>No</v>
      </c>
    </row>
    <row r="551" spans="2:11" ht="11.25" hidden="1">
      <c r="B551" s="27">
        <v>549</v>
      </c>
      <c r="C551" s="24">
        <f t="shared" ca="1" si="52"/>
        <v>5.1298421209307318E-2</v>
      </c>
      <c r="D551" s="24">
        <f t="shared" ca="1" si="53"/>
        <v>4.9142896690358359E-2</v>
      </c>
      <c r="E551" s="24">
        <f t="shared" ca="1" si="54"/>
        <v>7.7908364013616629E-2</v>
      </c>
      <c r="F551" s="25">
        <f ca="1">'Single Simulation'!$AP$4*Results!C551</f>
        <v>97266.734288467182</v>
      </c>
      <c r="G551" s="25">
        <f ca="1">'Single Simulation'!$AP$5*Results!D551</f>
        <v>46481.749243268387</v>
      </c>
      <c r="H551" s="25">
        <f t="shared" ca="1" si="50"/>
        <v>50784.985045198795</v>
      </c>
      <c r="I551" s="25">
        <f t="shared" ca="1" si="51"/>
        <v>3956.5751013274244</v>
      </c>
      <c r="J551" s="25">
        <f ca="1">'Single Simulation'!$AP$7*Results!E551</f>
        <v>1088538.3171448272</v>
      </c>
      <c r="K551" s="28" t="str">
        <f t="shared" ca="1" si="55"/>
        <v>No</v>
      </c>
    </row>
    <row r="552" spans="2:11" ht="11.25" hidden="1">
      <c r="B552" s="27">
        <v>550</v>
      </c>
      <c r="C552" s="29">
        <f t="shared" ca="1" si="52"/>
        <v>3.3655594045993206E-2</v>
      </c>
      <c r="D552" s="29">
        <f t="shared" ca="1" si="53"/>
        <v>5.0720346438897036E-2</v>
      </c>
      <c r="E552" s="29">
        <f t="shared" ca="1" si="54"/>
        <v>0.11218860562916405</v>
      </c>
      <c r="F552" s="30">
        <f ca="1">'Single Simulation'!$AP$4*Results!C552</f>
        <v>63814.239234290508</v>
      </c>
      <c r="G552" s="30">
        <f ca="1">'Single Simulation'!$AP$5*Results!D552</f>
        <v>47973.778175087886</v>
      </c>
      <c r="H552" s="30">
        <f t="shared" ca="1" si="50"/>
        <v>15840.461059202622</v>
      </c>
      <c r="I552" s="30">
        <f t="shared" ca="1" si="51"/>
        <v>1777.1192387550132</v>
      </c>
      <c r="J552" s="25">
        <f ca="1">'Single Simulation'!$AP$7*Results!E552</f>
        <v>1567503.0212808836</v>
      </c>
      <c r="K552" s="28" t="str">
        <f t="shared" ca="1" si="55"/>
        <v>No</v>
      </c>
    </row>
    <row r="553" spans="2:11" ht="11.25" hidden="1">
      <c r="B553" s="27">
        <v>551</v>
      </c>
      <c r="C553" s="24">
        <f t="shared" ca="1" si="52"/>
        <v>3.8202782533583793E-2</v>
      </c>
      <c r="D553" s="24">
        <f t="shared" ca="1" si="53"/>
        <v>5.4656109435817599E-2</v>
      </c>
      <c r="E553" s="24">
        <f t="shared" ca="1" si="54"/>
        <v>0.15771845376565574</v>
      </c>
      <c r="F553" s="25">
        <f ca="1">'Single Simulation'!$AP$4*Results!C553</f>
        <v>72436.145405192379</v>
      </c>
      <c r="G553" s="25">
        <f ca="1">'Single Simulation'!$AP$5*Results!D553</f>
        <v>51696.414833168492</v>
      </c>
      <c r="H553" s="25">
        <f t="shared" ca="1" si="50"/>
        <v>20739.730572023887</v>
      </c>
      <c r="I553" s="25">
        <f t="shared" ca="1" si="51"/>
        <v>3271.0382373359062</v>
      </c>
      <c r="J553" s="25">
        <f ca="1">'Single Simulation'!$AP$7*Results!E553</f>
        <v>2203647.6111184275</v>
      </c>
      <c r="K553" s="28" t="str">
        <f t="shared" ca="1" si="55"/>
        <v>No</v>
      </c>
    </row>
    <row r="554" spans="2:11" ht="11.25" hidden="1">
      <c r="B554" s="27">
        <v>552</v>
      </c>
      <c r="C554" s="29">
        <f t="shared" ca="1" si="52"/>
        <v>6.9017957588821482E-2</v>
      </c>
      <c r="D554" s="29">
        <f t="shared" ca="1" si="53"/>
        <v>3.8303790347044571E-2</v>
      </c>
      <c r="E554" s="29">
        <f t="shared" ca="1" si="54"/>
        <v>3.3843500686299703E-2</v>
      </c>
      <c r="F554" s="30">
        <f ca="1">'Single Simulation'!$AP$4*Results!C554</f>
        <v>130864.67738517062</v>
      </c>
      <c r="G554" s="30">
        <f ca="1">'Single Simulation'!$AP$5*Results!D554</f>
        <v>36229.593652084463</v>
      </c>
      <c r="H554" s="30">
        <f t="shared" ca="1" si="50"/>
        <v>94635.083733086154</v>
      </c>
      <c r="I554" s="30">
        <f t="shared" ca="1" si="51"/>
        <v>3202.7825212687312</v>
      </c>
      <c r="J554" s="25">
        <f ca="1">'Single Simulation'!$AP$7*Results!E554</f>
        <v>472862.54498831078</v>
      </c>
      <c r="K554" s="28" t="str">
        <f t="shared" ca="1" si="55"/>
        <v>No</v>
      </c>
    </row>
    <row r="555" spans="2:11" ht="11.25" hidden="1">
      <c r="B555" s="27">
        <v>553</v>
      </c>
      <c r="C555" s="24">
        <f t="shared" ca="1" si="52"/>
        <v>5.6103041613843947E-2</v>
      </c>
      <c r="D555" s="24">
        <f t="shared" ca="1" si="53"/>
        <v>5.6306336784348827E-2</v>
      </c>
      <c r="E555" s="24">
        <f t="shared" ca="1" si="54"/>
        <v>6.4116677490382107E-2</v>
      </c>
      <c r="F555" s="25">
        <f ca="1">'Single Simulation'!$AP$4*Results!C555</f>
        <v>106376.75610255417</v>
      </c>
      <c r="G555" s="25">
        <f ca="1">'Single Simulation'!$AP$5*Results!D555</f>
        <v>53257.280369689899</v>
      </c>
      <c r="H555" s="25">
        <f t="shared" ca="1" si="50"/>
        <v>53119.475732864266</v>
      </c>
      <c r="I555" s="25">
        <f t="shared" ca="1" si="51"/>
        <v>3405.8442940222367</v>
      </c>
      <c r="J555" s="25">
        <f ca="1">'Single Simulation'!$AP$7*Results!E555</f>
        <v>895840.40301629028</v>
      </c>
      <c r="K555" s="28" t="str">
        <f t="shared" ca="1" si="55"/>
        <v>No</v>
      </c>
    </row>
    <row r="556" spans="2:11" ht="11.25" hidden="1">
      <c r="B556" s="27">
        <v>554</v>
      </c>
      <c r="C556" s="29">
        <f t="shared" ca="1" si="52"/>
        <v>6.0779637479345026E-2</v>
      </c>
      <c r="D556" s="29">
        <f t="shared" ca="1" si="53"/>
        <v>5.7485109733718856E-2</v>
      </c>
      <c r="E556" s="29">
        <f t="shared" ca="1" si="54"/>
        <v>0.1514415635447541</v>
      </c>
      <c r="F556" s="30">
        <f ca="1">'Single Simulation'!$AP$4*Results!C556</f>
        <v>115244.0310927191</v>
      </c>
      <c r="G556" s="30">
        <f ca="1">'Single Simulation'!$AP$5*Results!D556</f>
        <v>54372.221334456335</v>
      </c>
      <c r="H556" s="30">
        <f t="shared" ca="1" si="50"/>
        <v>60871.809758262767</v>
      </c>
      <c r="I556" s="30">
        <f t="shared" ca="1" si="51"/>
        <v>9218.5220455901344</v>
      </c>
      <c r="J556" s="25">
        <f ca="1">'Single Simulation'!$AP$7*Results!E556</f>
        <v>2115946.6870331918</v>
      </c>
      <c r="K556" s="28" t="str">
        <f t="shared" ca="1" si="55"/>
        <v>No</v>
      </c>
    </row>
    <row r="557" spans="2:11" ht="11.25" hidden="1">
      <c r="B557" s="27">
        <v>555</v>
      </c>
      <c r="C557" s="24">
        <f t="shared" ca="1" si="52"/>
        <v>0.10158346776599053</v>
      </c>
      <c r="D557" s="24">
        <f t="shared" ca="1" si="53"/>
        <v>6.1419055545864951E-2</v>
      </c>
      <c r="E557" s="24">
        <f t="shared" ca="1" si="54"/>
        <v>7.6947608899173459E-2</v>
      </c>
      <c r="F557" s="25">
        <f ca="1">'Single Simulation'!$AP$4*Results!C557</f>
        <v>192612.01289179191</v>
      </c>
      <c r="G557" s="25">
        <f ca="1">'Single Simulation'!$AP$5*Results!D557</f>
        <v>58093.139210521556</v>
      </c>
      <c r="H557" s="25">
        <f t="shared" ca="1" si="50"/>
        <v>134518.87368127034</v>
      </c>
      <c r="I557" s="25">
        <f t="shared" ca="1" si="51"/>
        <v>10350.905681583708</v>
      </c>
      <c r="J557" s="25">
        <f ca="1">'Single Simulation'!$AP$7*Results!E557</f>
        <v>1075114.6139429288</v>
      </c>
      <c r="K557" s="28" t="str">
        <f t="shared" ca="1" si="55"/>
        <v>No</v>
      </c>
    </row>
    <row r="558" spans="2:11" ht="11.25" hidden="1">
      <c r="B558" s="27">
        <v>556</v>
      </c>
      <c r="C558" s="29">
        <f t="shared" ca="1" si="52"/>
        <v>5.1939555248034217E-2</v>
      </c>
      <c r="D558" s="29">
        <f t="shared" ca="1" si="53"/>
        <v>2.280837318726249E-2</v>
      </c>
      <c r="E558" s="29">
        <f t="shared" ca="1" si="54"/>
        <v>9.2381493864268804E-2</v>
      </c>
      <c r="F558" s="30">
        <f ca="1">'Single Simulation'!$AP$4*Results!C558</f>
        <v>98482.38601259522</v>
      </c>
      <c r="G558" s="30">
        <f ca="1">'Single Simulation'!$AP$5*Results!D558</f>
        <v>21573.272121446251</v>
      </c>
      <c r="H558" s="30">
        <f t="shared" ca="1" si="50"/>
        <v>76909.113891148969</v>
      </c>
      <c r="I558" s="30">
        <f t="shared" ca="1" si="51"/>
        <v>7104.9788330415295</v>
      </c>
      <c r="J558" s="25">
        <f ca="1">'Single Simulation'!$AP$7*Results!E558</f>
        <v>1290757.3806678907</v>
      </c>
      <c r="K558" s="28" t="str">
        <f t="shared" ca="1" si="55"/>
        <v>No</v>
      </c>
    </row>
    <row r="559" spans="2:11" ht="11.25" hidden="1">
      <c r="B559" s="27">
        <v>557</v>
      </c>
      <c r="C559" s="24">
        <f t="shared" ca="1" si="52"/>
        <v>6.6697130261335891E-2</v>
      </c>
      <c r="D559" s="24">
        <f t="shared" ca="1" si="53"/>
        <v>5.0183802404492675E-2</v>
      </c>
      <c r="E559" s="24">
        <f t="shared" ca="1" si="54"/>
        <v>4.363825689078514E-2</v>
      </c>
      <c r="F559" s="25">
        <f ca="1">'Single Simulation'!$AP$4*Results!C559</f>
        <v>126464.16583587955</v>
      </c>
      <c r="G559" s="25">
        <f ca="1">'Single Simulation'!$AP$5*Results!D559</f>
        <v>47466.288650766699</v>
      </c>
      <c r="H559" s="25">
        <f t="shared" ca="1" si="50"/>
        <v>78997.877185112855</v>
      </c>
      <c r="I559" s="25">
        <f t="shared" ca="1" si="51"/>
        <v>3447.3296584306495</v>
      </c>
      <c r="J559" s="25">
        <f ca="1">'Single Simulation'!$AP$7*Results!E559</f>
        <v>609715.21248638537</v>
      </c>
      <c r="K559" s="28" t="str">
        <f t="shared" ca="1" si="55"/>
        <v>No</v>
      </c>
    </row>
    <row r="560" spans="2:11" ht="11.25" hidden="1">
      <c r="B560" s="27">
        <v>558</v>
      </c>
      <c r="C560" s="29">
        <f t="shared" ca="1" si="52"/>
        <v>4.5357244079916821E-2</v>
      </c>
      <c r="D560" s="29">
        <f t="shared" ca="1" si="53"/>
        <v>5.3477318361011703E-2</v>
      </c>
      <c r="E560" s="29">
        <f t="shared" ca="1" si="54"/>
        <v>7.28402406717433E-2</v>
      </c>
      <c r="F560" s="30">
        <f ca="1">'Single Simulation'!$AP$4*Results!C560</f>
        <v>86001.691747542034</v>
      </c>
      <c r="G560" s="30">
        <f ca="1">'Single Simulation'!$AP$5*Results!D560</f>
        <v>50581.456724480515</v>
      </c>
      <c r="H560" s="30">
        <f t="shared" ca="1" si="50"/>
        <v>35420.235023061519</v>
      </c>
      <c r="I560" s="30">
        <f t="shared" ca="1" si="51"/>
        <v>2580.018443729512</v>
      </c>
      <c r="J560" s="25">
        <f ca="1">'Single Simulation'!$AP$7*Results!E560</f>
        <v>1017726.3250886087</v>
      </c>
      <c r="K560" s="28" t="str">
        <f t="shared" ca="1" si="55"/>
        <v>No</v>
      </c>
    </row>
    <row r="561" spans="2:11" ht="11.25" hidden="1">
      <c r="B561" s="27">
        <v>559</v>
      </c>
      <c r="C561" s="24">
        <f t="shared" ca="1" si="52"/>
        <v>8.174378974533851E-2</v>
      </c>
      <c r="D561" s="24">
        <f t="shared" ca="1" si="53"/>
        <v>3.9511566800611353E-2</v>
      </c>
      <c r="E561" s="24">
        <f t="shared" ca="1" si="54"/>
        <v>8.4239064574858732E-2</v>
      </c>
      <c r="F561" s="25">
        <f ca="1">'Single Simulation'!$AP$4*Results!C561</f>
        <v>154994.07758478131</v>
      </c>
      <c r="G561" s="25">
        <f ca="1">'Single Simulation'!$AP$5*Results!D561</f>
        <v>37371.967546125379</v>
      </c>
      <c r="H561" s="25">
        <f t="shared" ca="1" si="50"/>
        <v>117622.11003865593</v>
      </c>
      <c r="I561" s="25">
        <f t="shared" ca="1" si="51"/>
        <v>9908.3765229774763</v>
      </c>
      <c r="J561" s="25">
        <f ca="1">'Single Simulation'!$AP$7*Results!E561</f>
        <v>1176991.0811391766</v>
      </c>
      <c r="K561" s="28" t="str">
        <f t="shared" ca="1" si="55"/>
        <v>No</v>
      </c>
    </row>
    <row r="562" spans="2:11" ht="11.25" hidden="1">
      <c r="B562" s="27">
        <v>560</v>
      </c>
      <c r="C562" s="29">
        <f t="shared" ca="1" si="52"/>
        <v>5.1109152106146194E-2</v>
      </c>
      <c r="D562" s="29">
        <f t="shared" ca="1" si="53"/>
        <v>4.7697492540672501E-2</v>
      </c>
      <c r="E562" s="29">
        <f t="shared" ca="1" si="54"/>
        <v>9.4521662343951346E-2</v>
      </c>
      <c r="F562" s="30">
        <f ca="1">'Single Simulation'!$AP$4*Results!C562</f>
        <v>96907.861887870778</v>
      </c>
      <c r="G562" s="30">
        <f ca="1">'Single Simulation'!$AP$5*Results!D562</f>
        <v>45114.615481003631</v>
      </c>
      <c r="H562" s="30">
        <f t="shared" ca="1" si="50"/>
        <v>51793.246406867147</v>
      </c>
      <c r="I562" s="30">
        <f t="shared" ca="1" si="51"/>
        <v>4895.5837485669681</v>
      </c>
      <c r="J562" s="25">
        <f ca="1">'Single Simulation'!$AP$7*Results!E562</f>
        <v>1320659.8876037681</v>
      </c>
      <c r="K562" s="28" t="str">
        <f t="shared" ca="1" si="55"/>
        <v>No</v>
      </c>
    </row>
    <row r="563" spans="2:11" ht="11.25" hidden="1">
      <c r="B563" s="27">
        <v>561</v>
      </c>
      <c r="C563" s="24">
        <f t="shared" ca="1" si="52"/>
        <v>5.2447423470606186E-2</v>
      </c>
      <c r="D563" s="24">
        <f t="shared" ca="1" si="53"/>
        <v>6.3823789539788525E-2</v>
      </c>
      <c r="E563" s="24">
        <f t="shared" ca="1" si="54"/>
        <v>3.1019795748567267E-2</v>
      </c>
      <c r="F563" s="25">
        <f ca="1">'Single Simulation'!$AP$4*Results!C563</f>
        <v>99445.352947910986</v>
      </c>
      <c r="G563" s="25">
        <f ca="1">'Single Simulation'!$AP$5*Results!D563</f>
        <v>60367.653942662873</v>
      </c>
      <c r="H563" s="25">
        <f t="shared" ref="H563:H626" ca="1" si="56">F563-G563</f>
        <v>39077.699005248112</v>
      </c>
      <c r="I563" s="25">
        <f t="shared" ref="I563:I626" ca="1" si="57">H563*E563</f>
        <v>1212.1822414667868</v>
      </c>
      <c r="J563" s="25">
        <f ca="1">'Single Simulation'!$AP$7*Results!E563</f>
        <v>433409.64336537861</v>
      </c>
      <c r="K563" s="28" t="str">
        <f t="shared" ca="1" si="55"/>
        <v>No</v>
      </c>
    </row>
    <row r="564" spans="2:11" ht="11.25" hidden="1">
      <c r="B564" s="27">
        <v>562</v>
      </c>
      <c r="C564" s="29">
        <f t="shared" ca="1" si="52"/>
        <v>6.0866533506841652E-2</v>
      </c>
      <c r="D564" s="29">
        <f t="shared" ca="1" si="53"/>
        <v>4.8338352906087234E-2</v>
      </c>
      <c r="E564" s="29">
        <f t="shared" ca="1" si="54"/>
        <v>6.7449481092955843E-2</v>
      </c>
      <c r="F564" s="30">
        <f ca="1">'Single Simulation'!$AP$4*Results!C564</f>
        <v>115408.7943079992</v>
      </c>
      <c r="G564" s="30">
        <f ca="1">'Single Simulation'!$AP$5*Results!D564</f>
        <v>45720.772480515654</v>
      </c>
      <c r="H564" s="30">
        <f t="shared" ca="1" si="56"/>
        <v>69688.02182748355</v>
      </c>
      <c r="I564" s="30">
        <f t="shared" ca="1" si="57"/>
        <v>4700.4209106583457</v>
      </c>
      <c r="J564" s="25">
        <f ca="1">'Single Simulation'!$AP$7*Results!E564</f>
        <v>942406.44853466051</v>
      </c>
      <c r="K564" s="28" t="str">
        <f t="shared" ca="1" si="55"/>
        <v>No</v>
      </c>
    </row>
    <row r="565" spans="2:11" ht="11.25" hidden="1">
      <c r="B565" s="27">
        <v>563</v>
      </c>
      <c r="C565" s="24">
        <f t="shared" ca="1" si="52"/>
        <v>7.9478081205526921E-2</v>
      </c>
      <c r="D565" s="24">
        <f t="shared" ca="1" si="53"/>
        <v>0.02</v>
      </c>
      <c r="E565" s="24">
        <f t="shared" ca="1" si="54"/>
        <v>5.0217378981188429E-2</v>
      </c>
      <c r="F565" s="25">
        <f ca="1">'Single Simulation'!$AP$4*Results!C565</f>
        <v>150698.07655157641</v>
      </c>
      <c r="G565" s="25">
        <f ca="1">'Single Simulation'!$AP$5*Results!D565</f>
        <v>18916.975747743385</v>
      </c>
      <c r="H565" s="25">
        <f t="shared" ca="1" si="56"/>
        <v>131781.10080383302</v>
      </c>
      <c r="I565" s="25">
        <f t="shared" ca="1" si="57"/>
        <v>6617.7014816242781</v>
      </c>
      <c r="J565" s="25">
        <f ca="1">'Single Simulation'!$AP$7*Results!E565</f>
        <v>701638.93055247469</v>
      </c>
      <c r="K565" s="28" t="str">
        <f t="shared" ca="1" si="55"/>
        <v>No</v>
      </c>
    </row>
    <row r="566" spans="2:11" ht="11.25" hidden="1">
      <c r="B566" s="27">
        <v>564</v>
      </c>
      <c r="C566" s="29">
        <f t="shared" ca="1" si="52"/>
        <v>3.2131303486431145E-2</v>
      </c>
      <c r="D566" s="29">
        <f t="shared" ca="1" si="53"/>
        <v>4.2364244167417291E-2</v>
      </c>
      <c r="E566" s="29">
        <f t="shared" ca="1" si="54"/>
        <v>4.2134587023892126E-2</v>
      </c>
      <c r="F566" s="30">
        <f ca="1">'Single Simulation'!$AP$4*Results!C566</f>
        <v>60924.037911516818</v>
      </c>
      <c r="G566" s="30">
        <f ca="1">'Single Simulation'!$AP$5*Results!D566</f>
        <v>40070.168974325599</v>
      </c>
      <c r="H566" s="30">
        <f t="shared" ca="1" si="56"/>
        <v>20853.868937191219</v>
      </c>
      <c r="I566" s="30">
        <f t="shared" ca="1" si="57"/>
        <v>878.66915551892419</v>
      </c>
      <c r="J566" s="25">
        <f ca="1">'Single Simulation'!$AP$7*Results!E566</f>
        <v>588705.88586051716</v>
      </c>
      <c r="K566" s="28" t="str">
        <f t="shared" ca="1" si="55"/>
        <v>No</v>
      </c>
    </row>
    <row r="567" spans="2:11" ht="11.25" hidden="1">
      <c r="B567" s="27">
        <v>565</v>
      </c>
      <c r="C567" s="24">
        <f t="shared" ca="1" si="52"/>
        <v>6.0070288040854042E-2</v>
      </c>
      <c r="D567" s="24">
        <f t="shared" ca="1" si="53"/>
        <v>3.9429509114571874E-2</v>
      </c>
      <c r="E567" s="24">
        <f t="shared" ca="1" si="54"/>
        <v>4.736836136173149E-2</v>
      </c>
      <c r="F567" s="25">
        <f ca="1">'Single Simulation'!$AP$4*Results!C567</f>
        <v>113899.03641793451</v>
      </c>
      <c r="G567" s="25">
        <f ca="1">'Single Simulation'!$AP$5*Results!D567</f>
        <v>37294.353383289141</v>
      </c>
      <c r="H567" s="25">
        <f t="shared" ca="1" si="56"/>
        <v>76604.683034645364</v>
      </c>
      <c r="I567" s="25">
        <f t="shared" ca="1" si="57"/>
        <v>3628.6383079859834</v>
      </c>
      <c r="J567" s="25">
        <f ca="1">'Single Simulation'!$AP$7*Results!E567</f>
        <v>661832.35927782196</v>
      </c>
      <c r="K567" s="28" t="str">
        <f t="shared" ca="1" si="55"/>
        <v>No</v>
      </c>
    </row>
    <row r="568" spans="2:11" ht="11.25" hidden="1">
      <c r="B568" s="27">
        <v>566</v>
      </c>
      <c r="C568" s="29">
        <f t="shared" ca="1" si="52"/>
        <v>9.5529671328850208E-2</v>
      </c>
      <c r="D568" s="29">
        <f t="shared" ca="1" si="53"/>
        <v>6.350224597013919E-2</v>
      </c>
      <c r="E568" s="29">
        <f t="shared" ca="1" si="54"/>
        <v>8.4746332972003846E-2</v>
      </c>
      <c r="F568" s="30">
        <f ca="1">'Single Simulation'!$AP$4*Results!C568</f>
        <v>181133.43332527374</v>
      </c>
      <c r="G568" s="30">
        <f ca="1">'Single Simulation'!$AP$5*Results!D568</f>
        <v>60063.522347217906</v>
      </c>
      <c r="H568" s="30">
        <f t="shared" ca="1" si="56"/>
        <v>121069.91097805584</v>
      </c>
      <c r="I568" s="30">
        <f t="shared" ca="1" si="57"/>
        <v>10260.230988637184</v>
      </c>
      <c r="J568" s="25">
        <f ca="1">'Single Simulation'!$AP$7*Results!E568</f>
        <v>1184078.6524719875</v>
      </c>
      <c r="K568" s="28" t="str">
        <f t="shared" ca="1" si="55"/>
        <v>No</v>
      </c>
    </row>
    <row r="569" spans="2:11" ht="11.25" hidden="1">
      <c r="B569" s="27">
        <v>567</v>
      </c>
      <c r="C569" s="24">
        <f t="shared" ca="1" si="52"/>
        <v>4.3021635846032455E-2</v>
      </c>
      <c r="D569" s="24">
        <f t="shared" ca="1" si="53"/>
        <v>5.0109251173091146E-2</v>
      </c>
      <c r="E569" s="24">
        <f t="shared" ca="1" si="54"/>
        <v>8.3219800553054279E-2</v>
      </c>
      <c r="F569" s="25">
        <f ca="1">'Single Simulation'!$AP$4*Results!C569</f>
        <v>81573.154179879639</v>
      </c>
      <c r="G569" s="25">
        <f ca="1">'Single Simulation'!$AP$5*Results!D569</f>
        <v>47395.774458947344</v>
      </c>
      <c r="H569" s="25">
        <f t="shared" ca="1" si="56"/>
        <v>34177.379720932295</v>
      </c>
      <c r="I569" s="25">
        <f t="shared" ca="1" si="57"/>
        <v>2844.2347238019875</v>
      </c>
      <c r="J569" s="25">
        <f ca="1">'Single Simulation'!$AP$7*Results!E569</f>
        <v>1162749.8894896207</v>
      </c>
      <c r="K569" s="28" t="str">
        <f t="shared" ca="1" si="55"/>
        <v>No</v>
      </c>
    </row>
    <row r="570" spans="2:11" ht="11.25" hidden="1">
      <c r="B570" s="27">
        <v>568</v>
      </c>
      <c r="C570" s="29">
        <f t="shared" ca="1" si="52"/>
        <v>7.2936099886115047E-2</v>
      </c>
      <c r="D570" s="29">
        <f t="shared" ca="1" si="53"/>
        <v>5.4532880993877424E-2</v>
      </c>
      <c r="E570" s="29">
        <f t="shared" ca="1" si="54"/>
        <v>5.7011933687031974E-2</v>
      </c>
      <c r="F570" s="30">
        <f ca="1">'Single Simulation'!$AP$4*Results!C570</f>
        <v>138293.85155371428</v>
      </c>
      <c r="G570" s="30">
        <f ca="1">'Single Simulation'!$AP$5*Results!D570</f>
        <v>51579.85936078777</v>
      </c>
      <c r="H570" s="30">
        <f t="shared" ca="1" si="56"/>
        <v>86713.992192926511</v>
      </c>
      <c r="I570" s="30">
        <f t="shared" ca="1" si="57"/>
        <v>4943.732372640935</v>
      </c>
      <c r="J570" s="25">
        <f ca="1">'Single Simulation'!$AP$7*Results!E570</f>
        <v>796572.68046352046</v>
      </c>
      <c r="K570" s="28" t="str">
        <f t="shared" ca="1" si="55"/>
        <v>No</v>
      </c>
    </row>
    <row r="571" spans="2:11" ht="11.25" hidden="1">
      <c r="B571" s="27">
        <v>569</v>
      </c>
      <c r="C571" s="24">
        <f t="shared" ca="1" si="52"/>
        <v>5.1911687576528399E-2</v>
      </c>
      <c r="D571" s="24">
        <f t="shared" ca="1" si="53"/>
        <v>5.497799659370628E-2</v>
      </c>
      <c r="E571" s="24">
        <f t="shared" ca="1" si="54"/>
        <v>0.18389002080190897</v>
      </c>
      <c r="F571" s="25">
        <f ca="1">'Single Simulation'!$AP$4*Results!C571</f>
        <v>98429.546230479231</v>
      </c>
      <c r="G571" s="25">
        <f ca="1">'Single Simulation'!$AP$5*Results!D571</f>
        <v>52000.871411133005</v>
      </c>
      <c r="H571" s="25">
        <f t="shared" ca="1" si="56"/>
        <v>46428.674819346226</v>
      </c>
      <c r="I571" s="25">
        <f t="shared" ca="1" si="57"/>
        <v>8537.7699783346452</v>
      </c>
      <c r="J571" s="25">
        <f ca="1">'Single Simulation'!$AP$7*Results!E571</f>
        <v>2569317.6376858824</v>
      </c>
      <c r="K571" s="28" t="str">
        <f t="shared" ca="1" si="55"/>
        <v>No</v>
      </c>
    </row>
    <row r="572" spans="2:11" ht="11.25" hidden="1">
      <c r="B572" s="27">
        <v>570</v>
      </c>
      <c r="C572" s="29">
        <f t="shared" ca="1" si="52"/>
        <v>5.1354982387014025E-2</v>
      </c>
      <c r="D572" s="29">
        <f t="shared" ca="1" si="53"/>
        <v>4.1394349177486599E-2</v>
      </c>
      <c r="E572" s="29">
        <f t="shared" ca="1" si="54"/>
        <v>3.4050349504636729E-2</v>
      </c>
      <c r="F572" s="30">
        <f ca="1">'Single Simulation'!$AP$4*Results!C572</f>
        <v>97373.979714609901</v>
      </c>
      <c r="G572" s="30">
        <f ca="1">'Single Simulation'!$AP$5*Results!D572</f>
        <v>39152.794974206765</v>
      </c>
      <c r="H572" s="30">
        <f t="shared" ca="1" si="56"/>
        <v>58221.184740403136</v>
      </c>
      <c r="I572" s="30">
        <f t="shared" ca="1" si="57"/>
        <v>1982.4516889847494</v>
      </c>
      <c r="J572" s="25">
        <f ca="1">'Single Simulation'!$AP$7*Results!E572</f>
        <v>475752.64372760186</v>
      </c>
      <c r="K572" s="28" t="str">
        <f t="shared" ca="1" si="55"/>
        <v>No</v>
      </c>
    </row>
    <row r="573" spans="2:11" ht="11.25" hidden="1">
      <c r="B573" s="27">
        <v>571</v>
      </c>
      <c r="C573" s="24">
        <f t="shared" ca="1" si="52"/>
        <v>2.3780421155286287E-2</v>
      </c>
      <c r="D573" s="24">
        <f t="shared" ca="1" si="53"/>
        <v>4.4411688004842867E-2</v>
      </c>
      <c r="E573" s="24">
        <f t="shared" ca="1" si="54"/>
        <v>4.4553736421444182E-2</v>
      </c>
      <c r="F573" s="25">
        <f ca="1">'Single Simulation'!$AP$4*Results!C573</f>
        <v>45089.962834166297</v>
      </c>
      <c r="G573" s="25">
        <f ca="1">'Single Simulation'!$AP$5*Results!D573</f>
        <v>42006.741245197911</v>
      </c>
      <c r="H573" s="25">
        <f t="shared" ca="1" si="56"/>
        <v>3083.2215889683866</v>
      </c>
      <c r="I573" s="25">
        <f t="shared" ca="1" si="57"/>
        <v>137.3690420038038</v>
      </c>
      <c r="J573" s="25">
        <f ca="1">'Single Simulation'!$AP$7*Results!E573</f>
        <v>622506.32368864282</v>
      </c>
      <c r="K573" s="28" t="str">
        <f t="shared" ca="1" si="55"/>
        <v>No</v>
      </c>
    </row>
    <row r="574" spans="2:11" ht="11.25" hidden="1">
      <c r="B574" s="27">
        <v>572</v>
      </c>
      <c r="C574" s="29">
        <f t="shared" ca="1" si="52"/>
        <v>4.2417390529232019E-2</v>
      </c>
      <c r="D574" s="29">
        <f t="shared" ca="1" si="53"/>
        <v>6.2258334183741354E-2</v>
      </c>
      <c r="E574" s="29">
        <f t="shared" ca="1" si="54"/>
        <v>4.4667156617681628E-2</v>
      </c>
      <c r="F574" s="30">
        <f ca="1">'Single Simulation'!$AP$4*Results!C574</f>
        <v>80427.447016018326</v>
      </c>
      <c r="G574" s="30">
        <f ca="1">'Single Simulation'!$AP$5*Results!D574</f>
        <v>58886.969892436908</v>
      </c>
      <c r="H574" s="30">
        <f t="shared" ca="1" si="56"/>
        <v>21540.477123581419</v>
      </c>
      <c r="I574" s="30">
        <f t="shared" ca="1" si="57"/>
        <v>962.15186529859943</v>
      </c>
      <c r="J574" s="25">
        <f ca="1">'Single Simulation'!$AP$7*Results!E574</f>
        <v>624091.03453587578</v>
      </c>
      <c r="K574" s="28" t="str">
        <f t="shared" ca="1" si="55"/>
        <v>No</v>
      </c>
    </row>
    <row r="575" spans="2:11" ht="11.25" hidden="1">
      <c r="B575" s="27">
        <v>573</v>
      </c>
      <c r="C575" s="24">
        <f t="shared" ca="1" si="52"/>
        <v>0.10369809172711246</v>
      </c>
      <c r="D575" s="24">
        <f t="shared" ca="1" si="53"/>
        <v>0.02</v>
      </c>
      <c r="E575" s="24">
        <f t="shared" ca="1" si="54"/>
        <v>9.116861646328972E-2</v>
      </c>
      <c r="F575" s="25">
        <f ca="1">'Single Simulation'!$AP$4*Results!C575</f>
        <v>196621.54305076596</v>
      </c>
      <c r="G575" s="25">
        <f ca="1">'Single Simulation'!$AP$5*Results!D575</f>
        <v>18916.975747743385</v>
      </c>
      <c r="H575" s="25">
        <f t="shared" ca="1" si="56"/>
        <v>177704.56730302257</v>
      </c>
      <c r="I575" s="25">
        <f t="shared" ca="1" si="57"/>
        <v>16201.07954022412</v>
      </c>
      <c r="J575" s="25">
        <f ca="1">'Single Simulation'!$AP$7*Results!E575</f>
        <v>1273811.0162860893</v>
      </c>
      <c r="K575" s="28" t="str">
        <f t="shared" ca="1" si="55"/>
        <v>No</v>
      </c>
    </row>
    <row r="576" spans="2:11" ht="11.25" hidden="1">
      <c r="B576" s="27">
        <v>574</v>
      </c>
      <c r="C576" s="29">
        <f t="shared" ca="1" si="52"/>
        <v>7.189640424867276E-2</v>
      </c>
      <c r="D576" s="29">
        <f t="shared" ca="1" si="53"/>
        <v>4.8899938953251447E-2</v>
      </c>
      <c r="E576" s="29">
        <f t="shared" ca="1" si="54"/>
        <v>3.8618144744637088E-2</v>
      </c>
      <c r="F576" s="30">
        <f ca="1">'Single Simulation'!$AP$4*Results!C576</f>
        <v>136322.48875298875</v>
      </c>
      <c r="G576" s="30">
        <f ca="1">'Single Simulation'!$AP$5*Results!D576</f>
        <v>46251.947962239479</v>
      </c>
      <c r="H576" s="30">
        <f t="shared" ca="1" si="56"/>
        <v>90070.540790749277</v>
      </c>
      <c r="I576" s="30">
        <f t="shared" ca="1" si="57"/>
        <v>3478.3571814848947</v>
      </c>
      <c r="J576" s="25">
        <f ca="1">'Single Simulation'!$AP$7*Results!E576</f>
        <v>539574.03449307999</v>
      </c>
      <c r="K576" s="28" t="str">
        <f t="shared" ca="1" si="55"/>
        <v>No</v>
      </c>
    </row>
    <row r="577" spans="2:11" ht="11.25" hidden="1">
      <c r="B577" s="27">
        <v>575</v>
      </c>
      <c r="C577" s="24">
        <f t="shared" ca="1" si="52"/>
        <v>8.052135753409792E-2</v>
      </c>
      <c r="D577" s="24">
        <f t="shared" ca="1" si="53"/>
        <v>3.6743728493515343E-2</v>
      </c>
      <c r="E577" s="24">
        <f t="shared" ca="1" si="54"/>
        <v>2.8673300113457791E-2</v>
      </c>
      <c r="F577" s="25">
        <f ca="1">'Single Simulation'!$AP$4*Results!C577</f>
        <v>152676.2286866396</v>
      </c>
      <c r="G577" s="25">
        <f ca="1">'Single Simulation'!$AP$5*Results!D577</f>
        <v>34754.011039674864</v>
      </c>
      <c r="H577" s="25">
        <f t="shared" ca="1" si="56"/>
        <v>117922.21764696474</v>
      </c>
      <c r="I577" s="25">
        <f t="shared" ca="1" si="57"/>
        <v>3381.2191366359084</v>
      </c>
      <c r="J577" s="25">
        <f ca="1">'Single Simulation'!$AP$7*Results!E577</f>
        <v>400624.32638216834</v>
      </c>
      <c r="K577" s="28" t="str">
        <f t="shared" ca="1" si="55"/>
        <v>No</v>
      </c>
    </row>
    <row r="578" spans="2:11" ht="11.25" hidden="1">
      <c r="B578" s="27">
        <v>576</v>
      </c>
      <c r="C578" s="29">
        <f t="shared" ca="1" si="52"/>
        <v>9.1998533764520163E-2</v>
      </c>
      <c r="D578" s="29">
        <f t="shared" ca="1" si="53"/>
        <v>5.4071120486903518E-2</v>
      </c>
      <c r="E578" s="29">
        <f t="shared" ca="1" si="54"/>
        <v>7.0200221992148787E-2</v>
      </c>
      <c r="F578" s="30">
        <f ca="1">'Single Simulation'!$AP$4*Results!C578</f>
        <v>174438.05730572093</v>
      </c>
      <c r="G578" s="30">
        <f ca="1">'Single Simulation'!$AP$5*Results!D578</f>
        <v>51143.103745203211</v>
      </c>
      <c r="H578" s="30">
        <f t="shared" ca="1" si="56"/>
        <v>123294.95356051772</v>
      </c>
      <c r="I578" s="30">
        <f t="shared" ca="1" si="57"/>
        <v>8655.3331104600202</v>
      </c>
      <c r="J578" s="25">
        <f ca="1">'Single Simulation'!$AP$7*Results!E578</f>
        <v>980839.89412447682</v>
      </c>
      <c r="K578" s="28" t="str">
        <f t="shared" ca="1" si="55"/>
        <v>No</v>
      </c>
    </row>
    <row r="579" spans="2:11" ht="11.25" hidden="1">
      <c r="B579" s="27">
        <v>577</v>
      </c>
      <c r="C579" s="24">
        <f t="shared" ca="1" si="52"/>
        <v>6.9384068923291853E-2</v>
      </c>
      <c r="D579" s="24">
        <f t="shared" ca="1" si="53"/>
        <v>6.3400743258266473E-2</v>
      </c>
      <c r="E579" s="24">
        <f t="shared" ca="1" si="54"/>
        <v>6.0897689057032703E-2</v>
      </c>
      <c r="F579" s="25">
        <f ca="1">'Single Simulation'!$AP$4*Results!C579</f>
        <v>131558.85964361925</v>
      </c>
      <c r="G579" s="25">
        <f ca="1">'Single Simulation'!$AP$5*Results!D579</f>
        <v>59967.516130276585</v>
      </c>
      <c r="H579" s="25">
        <f t="shared" ca="1" si="56"/>
        <v>71591.343513342668</v>
      </c>
      <c r="I579" s="25">
        <f t="shared" ca="1" si="57"/>
        <v>4359.7473764507567</v>
      </c>
      <c r="J579" s="25">
        <f ca="1">'Single Simulation'!$AP$7*Results!E579</f>
        <v>850864.58692118642</v>
      </c>
      <c r="K579" s="28" t="str">
        <f t="shared" ca="1" si="55"/>
        <v>No</v>
      </c>
    </row>
    <row r="580" spans="2:11" ht="11.25" hidden="1">
      <c r="B580" s="27">
        <v>578</v>
      </c>
      <c r="C580" s="29">
        <f t="shared" ref="C580:C643" ca="1" si="58">MAX(0.02,MIN(0.12,_xlfn.NORM.INV(RAND(),0.06,0.02)))</f>
        <v>5.5145414378856838E-2</v>
      </c>
      <c r="D580" s="29">
        <f t="shared" ref="D580:D643" ca="1" si="59">MAX(0.02,MIN(0.08,_xlfn.NORM.INV(RAND(),0.05,0.015)))</f>
        <v>0.08</v>
      </c>
      <c r="E580" s="29">
        <f t="shared" ref="E580:E643" ca="1" si="60">MAX(-0.1,MIN(0.25,_xlfn.NORM.INV(RAND(),0.07,0.04)))</f>
        <v>6.803877247304714E-2</v>
      </c>
      <c r="F580" s="30">
        <f ca="1">'Single Simulation'!$AP$4*Results!C580</f>
        <v>104561.00287629326</v>
      </c>
      <c r="G580" s="30">
        <f ca="1">'Single Simulation'!$AP$5*Results!D580</f>
        <v>75667.90299097354</v>
      </c>
      <c r="H580" s="30">
        <f t="shared" ca="1" si="56"/>
        <v>28893.099885319723</v>
      </c>
      <c r="I580" s="30">
        <f t="shared" ca="1" si="57"/>
        <v>1965.8510491382931</v>
      </c>
      <c r="J580" s="25">
        <f ca="1">'Single Simulation'!$AP$7*Results!E580</f>
        <v>950640.04778056976</v>
      </c>
      <c r="K580" s="28" t="str">
        <f t="shared" ref="K580:K643" ca="1" si="61">IF(J580&gt;$N$4,"Yes","No")</f>
        <v>No</v>
      </c>
    </row>
    <row r="581" spans="2:11" ht="11.25" hidden="1">
      <c r="B581" s="27">
        <v>579</v>
      </c>
      <c r="C581" s="24">
        <f t="shared" ca="1" si="58"/>
        <v>5.8820866785601077E-2</v>
      </c>
      <c r="D581" s="24">
        <f t="shared" ca="1" si="59"/>
        <v>5.981465467011219E-2</v>
      </c>
      <c r="E581" s="24">
        <f t="shared" ca="1" si="60"/>
        <v>0.15461241783526339</v>
      </c>
      <c r="F581" s="25">
        <f ca="1">'Single Simulation'!$AP$4*Results!C581</f>
        <v>111530.01369980446</v>
      </c>
      <c r="G581" s="25">
        <f ca="1">'Single Simulation'!$AP$5*Results!D581</f>
        <v>56575.61858770789</v>
      </c>
      <c r="H581" s="25">
        <f t="shared" ca="1" si="56"/>
        <v>54954.395112096572</v>
      </c>
      <c r="I581" s="25">
        <f t="shared" ca="1" si="57"/>
        <v>8496.6318989556312</v>
      </c>
      <c r="J581" s="25">
        <f ca="1">'Single Simulation'!$AP$7*Results!E581</f>
        <v>2160249.9712441037</v>
      </c>
      <c r="K581" s="28" t="str">
        <f t="shared" ca="1" si="61"/>
        <v>No</v>
      </c>
    </row>
    <row r="582" spans="2:11" ht="11.25" hidden="1">
      <c r="B582" s="27">
        <v>580</v>
      </c>
      <c r="C582" s="29">
        <f t="shared" ca="1" si="58"/>
        <v>6.9747771542280984E-2</v>
      </c>
      <c r="D582" s="29">
        <f t="shared" ca="1" si="59"/>
        <v>2.6509658475856106E-2</v>
      </c>
      <c r="E582" s="29">
        <f t="shared" ca="1" si="60"/>
        <v>9.0735743903257574E-2</v>
      </c>
      <c r="F582" s="30">
        <f ca="1">'Single Simulation'!$AP$4*Results!C582</f>
        <v>132248.47474613661</v>
      </c>
      <c r="G582" s="30">
        <f ca="1">'Single Simulation'!$AP$5*Results!D582</f>
        <v>25074.128323436489</v>
      </c>
      <c r="H582" s="30">
        <f t="shared" ca="1" si="56"/>
        <v>107174.34642270012</v>
      </c>
      <c r="I582" s="30">
        <f t="shared" ca="1" si="57"/>
        <v>9724.5440500091281</v>
      </c>
      <c r="J582" s="25">
        <f ca="1">'Single Simulation'!$AP$7*Results!E582</f>
        <v>1267762.9061248593</v>
      </c>
      <c r="K582" s="28" t="str">
        <f t="shared" ca="1" si="61"/>
        <v>No</v>
      </c>
    </row>
    <row r="583" spans="2:11" ht="11.25" hidden="1">
      <c r="B583" s="27">
        <v>581</v>
      </c>
      <c r="C583" s="24">
        <f t="shared" ca="1" si="58"/>
        <v>7.6223741115093974E-2</v>
      </c>
      <c r="D583" s="24">
        <f t="shared" ca="1" si="59"/>
        <v>3.3697337658529412E-2</v>
      </c>
      <c r="E583" s="24">
        <f t="shared" ca="1" si="60"/>
        <v>9.1995386075638896E-2</v>
      </c>
      <c r="F583" s="25">
        <f ca="1">'Single Simulation'!$AP$4*Results!C583</f>
        <v>144527.53513142414</v>
      </c>
      <c r="G583" s="25">
        <f ca="1">'Single Simulation'!$AP$5*Results!D583</f>
        <v>31872.585962496036</v>
      </c>
      <c r="H583" s="25">
        <f t="shared" ca="1" si="56"/>
        <v>112654.94916892811</v>
      </c>
      <c r="I583" s="25">
        <f t="shared" ca="1" si="57"/>
        <v>10363.735542127017</v>
      </c>
      <c r="J583" s="25">
        <f ca="1">'Single Simulation'!$AP$7*Results!E583</f>
        <v>1285362.6694864538</v>
      </c>
      <c r="K583" s="28" t="str">
        <f t="shared" ca="1" si="61"/>
        <v>No</v>
      </c>
    </row>
    <row r="584" spans="2:11" ht="11.25" hidden="1">
      <c r="B584" s="27">
        <v>582</v>
      </c>
      <c r="C584" s="29">
        <f t="shared" ca="1" si="58"/>
        <v>5.7024359074292034E-2</v>
      </c>
      <c r="D584" s="29">
        <f t="shared" ca="1" si="59"/>
        <v>3.4849221057137225E-2</v>
      </c>
      <c r="E584" s="29">
        <f t="shared" ca="1" si="60"/>
        <v>9.4255201961734258E-2</v>
      </c>
      <c r="F584" s="30">
        <f ca="1">'Single Simulation'!$AP$4*Results!C584</f>
        <v>108123.66250840804</v>
      </c>
      <c r="G584" s="30">
        <f ca="1">'Single Simulation'!$AP$5*Results!D584</f>
        <v>32962.093478280651</v>
      </c>
      <c r="H584" s="30">
        <f t="shared" ca="1" si="56"/>
        <v>75161.569030127401</v>
      </c>
      <c r="I584" s="30">
        <f t="shared" ca="1" si="57"/>
        <v>7084.3688686954893</v>
      </c>
      <c r="J584" s="25">
        <f ca="1">'Single Simulation'!$AP$7*Results!E584</f>
        <v>1316936.8940623601</v>
      </c>
      <c r="K584" s="28" t="str">
        <f t="shared" ca="1" si="61"/>
        <v>No</v>
      </c>
    </row>
    <row r="585" spans="2:11" ht="11.25" hidden="1">
      <c r="B585" s="27">
        <v>583</v>
      </c>
      <c r="C585" s="24">
        <f t="shared" ca="1" si="58"/>
        <v>3.6138283327697571E-2</v>
      </c>
      <c r="D585" s="24">
        <f t="shared" ca="1" si="59"/>
        <v>4.4640950154159448E-2</v>
      </c>
      <c r="E585" s="24">
        <f t="shared" ca="1" si="60"/>
        <v>0.10860905686021873</v>
      </c>
      <c r="F585" s="25">
        <f ca="1">'Single Simulation'!$AP$4*Results!C585</f>
        <v>68521.656597079651</v>
      </c>
      <c r="G585" s="25">
        <f ca="1">'Single Simulation'!$AP$5*Results!D585</f>
        <v>42223.588571122775</v>
      </c>
      <c r="H585" s="25">
        <f t="shared" ca="1" si="56"/>
        <v>26298.068025956876</v>
      </c>
      <c r="I585" s="25">
        <f t="shared" ca="1" si="57"/>
        <v>2856.2083655450506</v>
      </c>
      <c r="J585" s="25">
        <f ca="1">'Single Simulation'!$AP$7*Results!E585</f>
        <v>1517489.4438888007</v>
      </c>
      <c r="K585" s="28" t="str">
        <f t="shared" ca="1" si="61"/>
        <v>No</v>
      </c>
    </row>
    <row r="586" spans="2:11" ht="11.25" hidden="1">
      <c r="B586" s="27">
        <v>584</v>
      </c>
      <c r="C586" s="29">
        <f t="shared" ca="1" si="58"/>
        <v>3.2156549234450209E-2</v>
      </c>
      <c r="D586" s="29">
        <f t="shared" ca="1" si="59"/>
        <v>3.3637690721290393E-2</v>
      </c>
      <c r="E586" s="29">
        <f t="shared" ca="1" si="60"/>
        <v>6.0971698830708479E-2</v>
      </c>
      <c r="F586" s="30">
        <f ca="1">'Single Simulation'!$AP$4*Results!C586</f>
        <v>60971.906274842557</v>
      </c>
      <c r="G586" s="30">
        <f ca="1">'Single Simulation'!$AP$5*Results!D586</f>
        <v>31816.168979237151</v>
      </c>
      <c r="H586" s="30">
        <f t="shared" ca="1" si="56"/>
        <v>29155.737295605406</v>
      </c>
      <c r="I586" s="30">
        <f t="shared" ca="1" si="57"/>
        <v>1777.6748335749078</v>
      </c>
      <c r="J586" s="25">
        <f ca="1">'Single Simulation'!$AP$7*Results!E586</f>
        <v>851898.65400126553</v>
      </c>
      <c r="K586" s="28" t="str">
        <f t="shared" ca="1" si="61"/>
        <v>No</v>
      </c>
    </row>
    <row r="587" spans="2:11" ht="11.25" hidden="1">
      <c r="B587" s="27">
        <v>585</v>
      </c>
      <c r="C587" s="24">
        <f t="shared" ca="1" si="58"/>
        <v>7.3042558256749365E-2</v>
      </c>
      <c r="D587" s="24">
        <f t="shared" ca="1" si="59"/>
        <v>7.1069635794342445E-2</v>
      </c>
      <c r="E587" s="24">
        <f t="shared" ca="1" si="60"/>
        <v>4.229767915730101E-2</v>
      </c>
      <c r="F587" s="25">
        <f ca="1">'Single Simulation'!$AP$4*Results!C587</f>
        <v>138495.70685072275</v>
      </c>
      <c r="G587" s="25">
        <f ca="1">'Single Simulation'!$AP$5*Results!D587</f>
        <v>67221.128836126562</v>
      </c>
      <c r="H587" s="25">
        <f t="shared" ca="1" si="56"/>
        <v>71274.578014596191</v>
      </c>
      <c r="I587" s="25">
        <f t="shared" ca="1" si="57"/>
        <v>3014.74923293341</v>
      </c>
      <c r="J587" s="25">
        <f ca="1">'Single Simulation'!$AP$7*Results!E587</f>
        <v>590984.61470674782</v>
      </c>
      <c r="K587" s="28" t="str">
        <f t="shared" ca="1" si="61"/>
        <v>No</v>
      </c>
    </row>
    <row r="588" spans="2:11" ht="11.25" hidden="1">
      <c r="B588" s="27">
        <v>586</v>
      </c>
      <c r="C588" s="29">
        <f t="shared" ca="1" si="58"/>
        <v>2.8357039812372073E-2</v>
      </c>
      <c r="D588" s="29">
        <f t="shared" ca="1" si="59"/>
        <v>5.5133473529182048E-2</v>
      </c>
      <c r="E588" s="29">
        <f t="shared" ca="1" si="60"/>
        <v>3.965915640928995E-2</v>
      </c>
      <c r="F588" s="30">
        <f ca="1">'Single Simulation'!$AP$4*Results!C588</f>
        <v>53767.671433464056</v>
      </c>
      <c r="G588" s="30">
        <f ca="1">'Single Simulation'!$AP$5*Results!D588</f>
        <v>52147.929082019429</v>
      </c>
      <c r="H588" s="30">
        <f t="shared" ca="1" si="56"/>
        <v>1619.7423514446273</v>
      </c>
      <c r="I588" s="30">
        <f t="shared" ca="1" si="57"/>
        <v>64.237615258693566</v>
      </c>
      <c r="J588" s="25">
        <f ca="1">'Single Simulation'!$AP$7*Results!E588</f>
        <v>554119.08494968188</v>
      </c>
      <c r="K588" s="28" t="str">
        <f t="shared" ca="1" si="61"/>
        <v>No</v>
      </c>
    </row>
    <row r="589" spans="2:11" ht="11.25" hidden="1">
      <c r="B589" s="27">
        <v>587</v>
      </c>
      <c r="C589" s="24">
        <f t="shared" ca="1" si="58"/>
        <v>5.8769029644056829E-2</v>
      </c>
      <c r="D589" s="24">
        <f t="shared" ca="1" si="59"/>
        <v>4.8102846153938388E-2</v>
      </c>
      <c r="E589" s="24">
        <f t="shared" ca="1" si="60"/>
        <v>5.0146432804945892E-2</v>
      </c>
      <c r="F589" s="25">
        <f ca="1">'Single Simulation'!$AP$4*Results!C589</f>
        <v>111431.72550001201</v>
      </c>
      <c r="G589" s="25">
        <f ca="1">'Single Simulation'!$AP$5*Results!D589</f>
        <v>45498.018704574177</v>
      </c>
      <c r="H589" s="25">
        <f t="shared" ca="1" si="56"/>
        <v>65933.706795437829</v>
      </c>
      <c r="I589" s="25">
        <f t="shared" ca="1" si="57"/>
        <v>3306.3401973984273</v>
      </c>
      <c r="J589" s="25">
        <f ca="1">'Single Simulation'!$AP$7*Results!E589</f>
        <v>700647.66816014133</v>
      </c>
      <c r="K589" s="28" t="str">
        <f t="shared" ca="1" si="61"/>
        <v>No</v>
      </c>
    </row>
    <row r="590" spans="2:11" ht="11.25" hidden="1">
      <c r="B590" s="27">
        <v>588</v>
      </c>
      <c r="C590" s="29">
        <f t="shared" ca="1" si="58"/>
        <v>7.7663754538114055E-2</v>
      </c>
      <c r="D590" s="29">
        <f t="shared" ca="1" si="59"/>
        <v>6.086108289289599E-2</v>
      </c>
      <c r="E590" s="29">
        <f t="shared" ca="1" si="60"/>
        <v>6.2624429921463956E-2</v>
      </c>
      <c r="F590" s="30">
        <f ca="1">'Single Simulation'!$AP$4*Results!C590</f>
        <v>147257.93890773584</v>
      </c>
      <c r="G590" s="30">
        <f ca="1">'Single Simulation'!$AP$5*Results!D590</f>
        <v>57565.381453315662</v>
      </c>
      <c r="H590" s="30">
        <f t="shared" ca="1" si="56"/>
        <v>89692.557454420166</v>
      </c>
      <c r="I590" s="30">
        <f t="shared" ca="1" si="57"/>
        <v>5616.9452787812152</v>
      </c>
      <c r="J590" s="25">
        <f ca="1">'Single Simulation'!$AP$7*Results!E590</f>
        <v>874990.66912700306</v>
      </c>
      <c r="K590" s="28" t="str">
        <f t="shared" ca="1" si="61"/>
        <v>No</v>
      </c>
    </row>
    <row r="591" spans="2:11" ht="11.25" hidden="1">
      <c r="B591" s="27">
        <v>589</v>
      </c>
      <c r="C591" s="24">
        <f t="shared" ca="1" si="58"/>
        <v>0.10843811549296835</v>
      </c>
      <c r="D591" s="24">
        <f t="shared" ca="1" si="59"/>
        <v>6.2127462924381816E-2</v>
      </c>
      <c r="E591" s="24">
        <f t="shared" ca="1" si="60"/>
        <v>7.745197600212228E-2</v>
      </c>
      <c r="F591" s="25">
        <f ca="1">'Single Simulation'!$AP$4*Results!C591</f>
        <v>205609.08343282502</v>
      </c>
      <c r="G591" s="25">
        <f ca="1">'Single Simulation'!$AP$5*Results!D591</f>
        <v>58763.185470467855</v>
      </c>
      <c r="H591" s="25">
        <f t="shared" ca="1" si="56"/>
        <v>146845.89796235715</v>
      </c>
      <c r="I591" s="25">
        <f t="shared" ca="1" si="57"/>
        <v>11373.504964990583</v>
      </c>
      <c r="J591" s="25">
        <f ca="1">'Single Simulation'!$AP$7*Results!E591</f>
        <v>1082161.6482943518</v>
      </c>
      <c r="K591" s="28" t="str">
        <f t="shared" ca="1" si="61"/>
        <v>No</v>
      </c>
    </row>
    <row r="592" spans="2:11" ht="11.25" hidden="1">
      <c r="B592" s="27">
        <v>590</v>
      </c>
      <c r="C592" s="29">
        <f t="shared" ca="1" si="58"/>
        <v>9.2135607265663069E-2</v>
      </c>
      <c r="D592" s="29">
        <f t="shared" ca="1" si="59"/>
        <v>5.3255533664509545E-2</v>
      </c>
      <c r="E592" s="29">
        <f t="shared" ca="1" si="60"/>
        <v>1.0087832127057106E-2</v>
      </c>
      <c r="F592" s="30">
        <f ca="1">'Single Simulation'!$AP$4*Results!C592</f>
        <v>174697.96183103285</v>
      </c>
      <c r="G592" s="30">
        <f ca="1">'Single Simulation'!$AP$5*Results!D592</f>
        <v>50371.681938232919</v>
      </c>
      <c r="H592" s="30">
        <f t="shared" ca="1" si="56"/>
        <v>124326.27989279994</v>
      </c>
      <c r="I592" s="30">
        <f t="shared" ca="1" si="57"/>
        <v>1254.1826405400811</v>
      </c>
      <c r="J592" s="25">
        <f ca="1">'Single Simulation'!$AP$7*Results!E592</f>
        <v>140947.53427638442</v>
      </c>
      <c r="K592" s="28" t="str">
        <f t="shared" ca="1" si="61"/>
        <v>No</v>
      </c>
    </row>
    <row r="593" spans="2:11" ht="11.25" hidden="1">
      <c r="B593" s="27">
        <v>591</v>
      </c>
      <c r="C593" s="24">
        <f t="shared" ca="1" si="58"/>
        <v>7.7210757966205162E-2</v>
      </c>
      <c r="D593" s="24">
        <f t="shared" ca="1" si="59"/>
        <v>4.1348663778003489E-2</v>
      </c>
      <c r="E593" s="24">
        <f t="shared" ca="1" si="60"/>
        <v>0.10315636725142814</v>
      </c>
      <c r="F593" s="25">
        <f ca="1">'Single Simulation'!$AP$4*Results!C593</f>
        <v>146399.01389299377</v>
      </c>
      <c r="G593" s="25">
        <f ca="1">'Single Simulation'!$AP$5*Results!D593</f>
        <v>39109.583494504368</v>
      </c>
      <c r="H593" s="25">
        <f t="shared" ca="1" si="56"/>
        <v>107289.43039848941</v>
      </c>
      <c r="I593" s="25">
        <f t="shared" ca="1" si="57"/>
        <v>11067.587884383112</v>
      </c>
      <c r="J593" s="25">
        <f ca="1">'Single Simulation'!$AP$7*Results!E593</f>
        <v>1441304.2788450499</v>
      </c>
      <c r="K593" s="28" t="str">
        <f t="shared" ca="1" si="61"/>
        <v>No</v>
      </c>
    </row>
    <row r="594" spans="2:11" ht="11.25" hidden="1">
      <c r="B594" s="27">
        <v>592</v>
      </c>
      <c r="C594" s="29">
        <f t="shared" ca="1" si="58"/>
        <v>0.02</v>
      </c>
      <c r="D594" s="29">
        <f t="shared" ca="1" si="59"/>
        <v>4.8757266045378486E-2</v>
      </c>
      <c r="E594" s="29">
        <f t="shared" ca="1" si="60"/>
        <v>8.2845514629718633E-3</v>
      </c>
      <c r="F594" s="30">
        <f ca="1">'Single Simulation'!$AP$4*Results!C594</f>
        <v>37921.921180225181</v>
      </c>
      <c r="G594" s="30">
        <f ca="1">'Single Simulation'!$AP$5*Results!D594</f>
        <v>46117.000965334839</v>
      </c>
      <c r="H594" s="30">
        <f t="shared" ca="1" si="56"/>
        <v>-8195.0797851096577</v>
      </c>
      <c r="I594" s="30">
        <f t="shared" ca="1" si="57"/>
        <v>-67.892560222901352</v>
      </c>
      <c r="J594" s="25">
        <f ca="1">'Single Simulation'!$AP$7*Results!E594</f>
        <v>115752.03538129688</v>
      </c>
      <c r="K594" s="28" t="str">
        <f t="shared" ca="1" si="61"/>
        <v>No</v>
      </c>
    </row>
    <row r="595" spans="2:11" ht="11.25" hidden="1">
      <c r="B595" s="27">
        <v>593</v>
      </c>
      <c r="C595" s="24">
        <f t="shared" ca="1" si="58"/>
        <v>7.8451021013730166E-2</v>
      </c>
      <c r="D595" s="24">
        <f t="shared" ca="1" si="59"/>
        <v>2.7345981372332077E-2</v>
      </c>
      <c r="E595" s="24">
        <f t="shared" ca="1" si="60"/>
        <v>7.295688902236809E-2</v>
      </c>
      <c r="F595" s="25">
        <f ca="1">'Single Simulation'!$AP$4*Results!C595</f>
        <v>148750.67176954323</v>
      </c>
      <c r="G595" s="25">
        <f ca="1">'Single Simulation'!$AP$5*Results!D595</f>
        <v>25865.163320932414</v>
      </c>
      <c r="H595" s="25">
        <f t="shared" ca="1" si="56"/>
        <v>122885.50844861081</v>
      </c>
      <c r="I595" s="25">
        <f t="shared" ca="1" si="57"/>
        <v>8965.3444023425745</v>
      </c>
      <c r="J595" s="25">
        <f ca="1">'Single Simulation'!$AP$7*Results!E595</f>
        <v>1019356.1398189582</v>
      </c>
      <c r="K595" s="28" t="str">
        <f t="shared" ca="1" si="61"/>
        <v>No</v>
      </c>
    </row>
    <row r="596" spans="2:11" ht="11.25" hidden="1">
      <c r="B596" s="27">
        <v>594</v>
      </c>
      <c r="C596" s="29">
        <f t="shared" ca="1" si="58"/>
        <v>5.1813342506202995E-2</v>
      </c>
      <c r="D596" s="29">
        <f t="shared" ca="1" si="59"/>
        <v>5.8877665395037623E-2</v>
      </c>
      <c r="E596" s="29">
        <f t="shared" ca="1" si="60"/>
        <v>-4.5958829901229376E-3</v>
      </c>
      <c r="F596" s="30">
        <f ca="1">'Single Simulation'!$AP$4*Results!C596</f>
        <v>98243.074530212049</v>
      </c>
      <c r="G596" s="30">
        <f ca="1">'Single Simulation'!$AP$5*Results!D596</f>
        <v>55689.368418083832</v>
      </c>
      <c r="H596" s="30">
        <f t="shared" ca="1" si="56"/>
        <v>42553.706112128217</v>
      </c>
      <c r="I596" s="30">
        <f t="shared" ca="1" si="57"/>
        <v>-195.57185408742055</v>
      </c>
      <c r="J596" s="25">
        <f ca="1">'Single Simulation'!$AP$7*Results!E596</f>
        <v>-64213.833767431999</v>
      </c>
      <c r="K596" s="28" t="str">
        <f t="shared" ca="1" si="61"/>
        <v>No</v>
      </c>
    </row>
    <row r="597" spans="2:11" ht="11.25" hidden="1">
      <c r="B597" s="27">
        <v>595</v>
      </c>
      <c r="C597" s="24">
        <f t="shared" ca="1" si="58"/>
        <v>8.7304964842989427E-2</v>
      </c>
      <c r="D597" s="24">
        <f t="shared" ca="1" si="59"/>
        <v>5.9630191147809208E-2</v>
      </c>
      <c r="E597" s="24">
        <f t="shared" ca="1" si="60"/>
        <v>4.9614726286498961E-2</v>
      </c>
      <c r="F597" s="25">
        <f ca="1">'Single Simulation'!$AP$4*Results!C597</f>
        <v>165538.59977090877</v>
      </c>
      <c r="G597" s="25">
        <f ca="1">'Single Simulation'!$AP$5*Results!D597</f>
        <v>56401.143988820448</v>
      </c>
      <c r="H597" s="25">
        <f t="shared" ca="1" si="56"/>
        <v>109137.45578208832</v>
      </c>
      <c r="I597" s="25">
        <f t="shared" ca="1" si="57"/>
        <v>5414.8249962331956</v>
      </c>
      <c r="J597" s="25">
        <f ca="1">'Single Simulation'!$AP$7*Results!E597</f>
        <v>693218.64656364114</v>
      </c>
      <c r="K597" s="28" t="str">
        <f t="shared" ca="1" si="61"/>
        <v>No</v>
      </c>
    </row>
    <row r="598" spans="2:11" ht="11.25" hidden="1">
      <c r="B598" s="27">
        <v>596</v>
      </c>
      <c r="C598" s="29">
        <f t="shared" ca="1" si="58"/>
        <v>6.7076706046843612E-2</v>
      </c>
      <c r="D598" s="29">
        <f t="shared" ca="1" si="59"/>
        <v>5.9425575327656903E-2</v>
      </c>
      <c r="E598" s="29">
        <f t="shared" ca="1" si="60"/>
        <v>1.9873511806710133E-2</v>
      </c>
      <c r="F598" s="30">
        <f ca="1">'Single Simulation'!$AP$4*Results!C598</f>
        <v>127183.87798687685</v>
      </c>
      <c r="G598" s="30">
        <f ca="1">'Single Simulation'!$AP$5*Results!D598</f>
        <v>56207.608363449159</v>
      </c>
      <c r="H598" s="30">
        <f t="shared" ca="1" si="56"/>
        <v>70976.269623427681</v>
      </c>
      <c r="I598" s="30">
        <f t="shared" ca="1" si="57"/>
        <v>1410.5477323574319</v>
      </c>
      <c r="J598" s="25">
        <f ca="1">'Single Simulation'!$AP$7*Results!E598</f>
        <v>277673.38426016917</v>
      </c>
      <c r="K598" s="28" t="str">
        <f t="shared" ca="1" si="61"/>
        <v>No</v>
      </c>
    </row>
    <row r="599" spans="2:11" ht="11.25" hidden="1">
      <c r="B599" s="27">
        <v>597</v>
      </c>
      <c r="C599" s="24">
        <f t="shared" ca="1" si="58"/>
        <v>5.988511325167456E-2</v>
      </c>
      <c r="D599" s="24">
        <f t="shared" ca="1" si="59"/>
        <v>2.9561375067963462E-2</v>
      </c>
      <c r="E599" s="24">
        <f t="shared" ca="1" si="60"/>
        <v>5.9648844295927865E-2</v>
      </c>
      <c r="F599" s="25">
        <f ca="1">'Single Simulation'!$AP$4*Results!C599</f>
        <v>113547.92722994304</v>
      </c>
      <c r="G599" s="25">
        <f ca="1">'Single Simulation'!$AP$5*Results!D599</f>
        <v>27960.590761530537</v>
      </c>
      <c r="H599" s="25">
        <f t="shared" ca="1" si="56"/>
        <v>85587.336468412512</v>
      </c>
      <c r="I599" s="25">
        <f t="shared" ca="1" si="57"/>
        <v>5105.1857067075262</v>
      </c>
      <c r="J599" s="25">
        <f ca="1">'Single Simulation'!$AP$7*Results!E599</f>
        <v>833415.68535792688</v>
      </c>
      <c r="K599" s="28" t="str">
        <f t="shared" ca="1" si="61"/>
        <v>No</v>
      </c>
    </row>
    <row r="600" spans="2:11" ht="11.25" hidden="1">
      <c r="B600" s="27">
        <v>598</v>
      </c>
      <c r="C600" s="29">
        <f t="shared" ca="1" si="58"/>
        <v>4.3032126386514838E-2</v>
      </c>
      <c r="D600" s="29">
        <f t="shared" ca="1" si="59"/>
        <v>6.5683095055677737E-2</v>
      </c>
      <c r="E600" s="29">
        <f t="shared" ca="1" si="60"/>
        <v>6.2922894378827587E-2</v>
      </c>
      <c r="F600" s="30">
        <f ca="1">'Single Simulation'!$AP$4*Results!C600</f>
        <v>81593.045252345182</v>
      </c>
      <c r="G600" s="30">
        <f ca="1">'Single Simulation'!$AP$5*Results!D600</f>
        <v>62126.275810248953</v>
      </c>
      <c r="H600" s="30">
        <f t="shared" ca="1" si="56"/>
        <v>19466.769442096229</v>
      </c>
      <c r="I600" s="30">
        <f t="shared" ca="1" si="57"/>
        <v>1224.9054775020095</v>
      </c>
      <c r="J600" s="25">
        <f ca="1">'Single Simulation'!$AP$7*Results!E600</f>
        <v>879160.82469706959</v>
      </c>
      <c r="K600" s="28" t="str">
        <f t="shared" ca="1" si="61"/>
        <v>No</v>
      </c>
    </row>
    <row r="601" spans="2:11" ht="11.25" hidden="1">
      <c r="B601" s="27">
        <v>599</v>
      </c>
      <c r="C601" s="24">
        <f t="shared" ca="1" si="58"/>
        <v>7.2230433967505905E-2</v>
      </c>
      <c r="D601" s="24">
        <f t="shared" ca="1" si="59"/>
        <v>4.8716239927183651E-2</v>
      </c>
      <c r="E601" s="24">
        <f t="shared" ca="1" si="60"/>
        <v>6.6120854960461994E-2</v>
      </c>
      <c r="F601" s="25">
        <f ca="1">'Single Simulation'!$AP$4*Results!C601</f>
        <v>136955.84118646092</v>
      </c>
      <c r="G601" s="25">
        <f ca="1">'Single Simulation'!$AP$5*Results!D601</f>
        <v>46078.196461189051</v>
      </c>
      <c r="H601" s="25">
        <f t="shared" ca="1" si="56"/>
        <v>90877.644725271879</v>
      </c>
      <c r="I601" s="25">
        <f t="shared" ca="1" si="57"/>
        <v>6008.907566028096</v>
      </c>
      <c r="J601" s="25">
        <f ca="1">'Single Simulation'!$AP$7*Results!E601</f>
        <v>923842.83893137425</v>
      </c>
      <c r="K601" s="28" t="str">
        <f t="shared" ca="1" si="61"/>
        <v>No</v>
      </c>
    </row>
    <row r="602" spans="2:11" ht="11.25" hidden="1">
      <c r="B602" s="27">
        <v>600</v>
      </c>
      <c r="C602" s="29">
        <f t="shared" ca="1" si="58"/>
        <v>6.7391501130031534E-2</v>
      </c>
      <c r="D602" s="29">
        <f t="shared" ca="1" si="59"/>
        <v>3.2541565349468116E-2</v>
      </c>
      <c r="E602" s="29">
        <f t="shared" ca="1" si="60"/>
        <v>0.10202550894419429</v>
      </c>
      <c r="F602" s="30">
        <f ca="1">'Single Simulation'!$AP$4*Results!C602</f>
        <v>127780.7597035056</v>
      </c>
      <c r="G602" s="30">
        <f ca="1">'Single Simulation'!$AP$5*Results!D602</f>
        <v>30779.400125474742</v>
      </c>
      <c r="H602" s="30">
        <f t="shared" ca="1" si="56"/>
        <v>97001.359578030853</v>
      </c>
      <c r="I602" s="30">
        <f t="shared" ca="1" si="57"/>
        <v>9896.6130792273943</v>
      </c>
      <c r="J602" s="25">
        <f ca="1">'Single Simulation'!$AP$7*Results!E602</f>
        <v>1425503.888036299</v>
      </c>
      <c r="K602" s="28" t="str">
        <f t="shared" ca="1" si="61"/>
        <v>No</v>
      </c>
    </row>
    <row r="603" spans="2:11" ht="11.25" hidden="1">
      <c r="B603" s="27">
        <v>601</v>
      </c>
      <c r="C603" s="24">
        <f t="shared" ca="1" si="58"/>
        <v>6.8431120413576643E-2</v>
      </c>
      <c r="D603" s="24">
        <f t="shared" ca="1" si="59"/>
        <v>5.0085526779430248E-2</v>
      </c>
      <c r="E603" s="24">
        <f t="shared" ca="1" si="60"/>
        <v>0.15714913213825438</v>
      </c>
      <c r="F603" s="25">
        <f ca="1">'Single Simulation'!$AP$4*Results!C603</f>
        <v>129751.97772990758</v>
      </c>
      <c r="G603" s="25">
        <f ca="1">'Single Simulation'!$AP$5*Results!D603</f>
        <v>47373.334769971691</v>
      </c>
      <c r="H603" s="25">
        <f t="shared" ca="1" si="56"/>
        <v>82378.642959935882</v>
      </c>
      <c r="I603" s="25">
        <f t="shared" ca="1" si="57"/>
        <v>12945.732247881042</v>
      </c>
      <c r="J603" s="25">
        <f ca="1">'Single Simulation'!$AP$7*Results!E603</f>
        <v>2195693.0299376789</v>
      </c>
      <c r="K603" s="28" t="str">
        <f t="shared" ca="1" si="61"/>
        <v>No</v>
      </c>
    </row>
    <row r="604" spans="2:11" ht="11.25" hidden="1">
      <c r="B604" s="27">
        <v>602</v>
      </c>
      <c r="C604" s="29">
        <f t="shared" ca="1" si="58"/>
        <v>5.8234354454722512E-2</v>
      </c>
      <c r="D604" s="29">
        <f t="shared" ca="1" si="59"/>
        <v>5.9403157581819188E-2</v>
      </c>
      <c r="E604" s="29">
        <f t="shared" ca="1" si="60"/>
        <v>0.10420774488517343</v>
      </c>
      <c r="F604" s="30">
        <f ca="1">'Single Simulation'!$AP$4*Results!C604</f>
        <v>110417.92998066411</v>
      </c>
      <c r="G604" s="30">
        <f ca="1">'Single Simulation'!$AP$5*Results!D604</f>
        <v>56186.404565732606</v>
      </c>
      <c r="H604" s="30">
        <f t="shared" ca="1" si="56"/>
        <v>54231.525414931501</v>
      </c>
      <c r="I604" s="30">
        <f t="shared" ca="1" si="57"/>
        <v>5651.3449651729807</v>
      </c>
      <c r="J604" s="25">
        <f ca="1">'Single Simulation'!$AP$7*Results!E604</f>
        <v>1455994.1629750873</v>
      </c>
      <c r="K604" s="28" t="str">
        <f t="shared" ca="1" si="61"/>
        <v>No</v>
      </c>
    </row>
    <row r="605" spans="2:11" ht="11.25" hidden="1">
      <c r="B605" s="27">
        <v>603</v>
      </c>
      <c r="C605" s="24">
        <f t="shared" ca="1" si="58"/>
        <v>4.0603667397270525E-2</v>
      </c>
      <c r="D605" s="24">
        <f t="shared" ca="1" si="59"/>
        <v>5.3992587481945679E-2</v>
      </c>
      <c r="E605" s="24">
        <f t="shared" ca="1" si="60"/>
        <v>6.8912997306351628E-2</v>
      </c>
      <c r="F605" s="25">
        <f ca="1">'Single Simulation'!$AP$4*Results!C605</f>
        <v>76988.453733368588</v>
      </c>
      <c r="G605" s="25">
        <f ca="1">'Single Simulation'!$AP$5*Results!D605</f>
        <v>51068.823397693974</v>
      </c>
      <c r="H605" s="25">
        <f t="shared" ca="1" si="56"/>
        <v>25919.630335674614</v>
      </c>
      <c r="I605" s="25">
        <f t="shared" ca="1" si="57"/>
        <v>1786.1994155039747</v>
      </c>
      <c r="J605" s="25">
        <f ca="1">'Single Simulation'!$AP$7*Results!E605</f>
        <v>962854.74694541376</v>
      </c>
      <c r="K605" s="28" t="str">
        <f t="shared" ca="1" si="61"/>
        <v>No</v>
      </c>
    </row>
    <row r="606" spans="2:11" ht="11.25" hidden="1">
      <c r="B606" s="27">
        <v>604</v>
      </c>
      <c r="C606" s="29">
        <f t="shared" ca="1" si="58"/>
        <v>7.3821127871221609E-2</v>
      </c>
      <c r="D606" s="29">
        <f t="shared" ca="1" si="59"/>
        <v>5.2636479427102152E-2</v>
      </c>
      <c r="E606" s="29">
        <f t="shared" ca="1" si="60"/>
        <v>9.1855998271852757E-2</v>
      </c>
      <c r="F606" s="30">
        <f ca="1">'Single Simulation'!$AP$4*Results!C606</f>
        <v>139971.9496283895</v>
      </c>
      <c r="G606" s="30">
        <f ca="1">'Single Simulation'!$AP$5*Results!D606</f>
        <v>49786.150238454247</v>
      </c>
      <c r="H606" s="30">
        <f t="shared" ca="1" si="56"/>
        <v>90185.799389935244</v>
      </c>
      <c r="I606" s="30">
        <f t="shared" ca="1" si="57"/>
        <v>8284.1066329075511</v>
      </c>
      <c r="J606" s="25">
        <f ca="1">'Single Simulation'!$AP$7*Results!E606</f>
        <v>1283415.1383415647</v>
      </c>
      <c r="K606" s="28" t="str">
        <f t="shared" ca="1" si="61"/>
        <v>No</v>
      </c>
    </row>
    <row r="607" spans="2:11" ht="11.25" hidden="1">
      <c r="B607" s="27">
        <v>605</v>
      </c>
      <c r="C607" s="24">
        <f t="shared" ca="1" si="58"/>
        <v>6.4042417085834108E-2</v>
      </c>
      <c r="D607" s="24">
        <f t="shared" ca="1" si="59"/>
        <v>6.8362851173608893E-2</v>
      </c>
      <c r="E607" s="24">
        <f t="shared" ca="1" si="60"/>
        <v>9.8656179147565123E-2</v>
      </c>
      <c r="F607" s="25">
        <f ca="1">'Single Simulation'!$AP$4*Results!C607</f>
        <v>121430.57464600536</v>
      </c>
      <c r="G607" s="25">
        <f ca="1">'Single Simulation'!$AP$5*Results!D607</f>
        <v>64660.919884887488</v>
      </c>
      <c r="H607" s="25">
        <f t="shared" ca="1" si="56"/>
        <v>56769.654761117876</v>
      </c>
      <c r="I607" s="25">
        <f t="shared" ca="1" si="57"/>
        <v>5600.6772302582685</v>
      </c>
      <c r="J607" s="25">
        <f ca="1">'Single Simulation'!$AP$7*Results!E607</f>
        <v>1378427.4972897596</v>
      </c>
      <c r="K607" s="28" t="str">
        <f t="shared" ca="1" si="61"/>
        <v>No</v>
      </c>
    </row>
    <row r="608" spans="2:11" ht="11.25" hidden="1">
      <c r="B608" s="27">
        <v>606</v>
      </c>
      <c r="C608" s="29">
        <f t="shared" ca="1" si="58"/>
        <v>4.7690610014021265E-2</v>
      </c>
      <c r="D608" s="29">
        <f t="shared" ca="1" si="59"/>
        <v>5.9472193412510956E-2</v>
      </c>
      <c r="E608" s="29">
        <f t="shared" ca="1" si="60"/>
        <v>5.2225106956583806E-2</v>
      </c>
      <c r="F608" s="30">
        <f ca="1">'Single Simulation'!$AP$4*Results!C608</f>
        <v>90425.977699428593</v>
      </c>
      <c r="G608" s="30">
        <f ca="1">'Single Simulation'!$AP$5*Results!D608</f>
        <v>56251.702022478683</v>
      </c>
      <c r="H608" s="30">
        <f t="shared" ca="1" si="56"/>
        <v>34174.27567694991</v>
      </c>
      <c r="I608" s="30">
        <f t="shared" ca="1" si="57"/>
        <v>1784.7552023924895</v>
      </c>
      <c r="J608" s="25">
        <f ca="1">'Single Simulation'!$AP$7*Results!E608</f>
        <v>729690.9742488293</v>
      </c>
      <c r="K608" s="28" t="str">
        <f t="shared" ca="1" si="61"/>
        <v>No</v>
      </c>
    </row>
    <row r="609" spans="2:11" ht="11.25" hidden="1">
      <c r="B609" s="27">
        <v>607</v>
      </c>
      <c r="C609" s="24">
        <f t="shared" ca="1" si="58"/>
        <v>7.0267469072536518E-2</v>
      </c>
      <c r="D609" s="24">
        <f t="shared" ca="1" si="59"/>
        <v>6.0109048510166754E-2</v>
      </c>
      <c r="E609" s="24">
        <f t="shared" ca="1" si="60"/>
        <v>5.0411138224046977E-2</v>
      </c>
      <c r="F609" s="25">
        <f ca="1">'Single Simulation'!$AP$4*Results!C609</f>
        <v>133233.87118513201</v>
      </c>
      <c r="G609" s="25">
        <f ca="1">'Single Simulation'!$AP$5*Results!D609</f>
        <v>56854.070644337757</v>
      </c>
      <c r="H609" s="25">
        <f t="shared" ca="1" si="56"/>
        <v>76379.800540794255</v>
      </c>
      <c r="I609" s="25">
        <f t="shared" ca="1" si="57"/>
        <v>3850.3926825871172</v>
      </c>
      <c r="J609" s="25">
        <f ca="1">'Single Simulation'!$AP$7*Results!E609</f>
        <v>704346.14129708277</v>
      </c>
      <c r="K609" s="28" t="str">
        <f t="shared" ca="1" si="61"/>
        <v>No</v>
      </c>
    </row>
    <row r="610" spans="2:11" ht="11.25" hidden="1">
      <c r="B610" s="27">
        <v>608</v>
      </c>
      <c r="C610" s="29">
        <f t="shared" ca="1" si="58"/>
        <v>9.1003965118491612E-2</v>
      </c>
      <c r="D610" s="29">
        <f t="shared" ca="1" si="59"/>
        <v>6.5158818437425811E-2</v>
      </c>
      <c r="E610" s="29">
        <f t="shared" ca="1" si="60"/>
        <v>0.11092396635997313</v>
      </c>
      <c r="F610" s="30">
        <f ca="1">'Single Simulation'!$AP$4*Results!C610</f>
        <v>172552.25961557002</v>
      </c>
      <c r="G610" s="30">
        <f ca="1">'Single Simulation'!$AP$5*Results!D610</f>
        <v>61630.389406619928</v>
      </c>
      <c r="H610" s="30">
        <f t="shared" ca="1" si="56"/>
        <v>110921.87020895009</v>
      </c>
      <c r="I610" s="30">
        <f t="shared" ca="1" si="57"/>
        <v>12303.893799642885</v>
      </c>
      <c r="J610" s="25">
        <f ca="1">'Single Simulation'!$AP$7*Results!E610</f>
        <v>1549833.4383123624</v>
      </c>
      <c r="K610" s="28" t="str">
        <f t="shared" ca="1" si="61"/>
        <v>No</v>
      </c>
    </row>
    <row r="611" spans="2:11" ht="11.25" hidden="1">
      <c r="B611" s="27">
        <v>609</v>
      </c>
      <c r="C611" s="24">
        <f t="shared" ca="1" si="58"/>
        <v>3.2486335041138729E-2</v>
      </c>
      <c r="D611" s="24">
        <f t="shared" ca="1" si="59"/>
        <v>4.4533071485241577E-2</v>
      </c>
      <c r="E611" s="24">
        <f t="shared" ca="1" si="60"/>
        <v>5.1934707195550503E-2</v>
      </c>
      <c r="F611" s="25">
        <f ca="1">'Single Simulation'!$AP$4*Results!C611</f>
        <v>61597.211843222511</v>
      </c>
      <c r="G611" s="25">
        <f ca="1">'Single Simulation'!$AP$5*Results!D611</f>
        <v>42121.551662941871</v>
      </c>
      <c r="H611" s="25">
        <f t="shared" ca="1" si="56"/>
        <v>19475.66018028064</v>
      </c>
      <c r="I611" s="25">
        <f t="shared" ca="1" si="57"/>
        <v>1011.4627089029174</v>
      </c>
      <c r="J611" s="25">
        <f ca="1">'Single Simulation'!$AP$7*Results!E611</f>
        <v>725633.498890738</v>
      </c>
      <c r="K611" s="28" t="str">
        <f t="shared" ca="1" si="61"/>
        <v>No</v>
      </c>
    </row>
    <row r="612" spans="2:11" ht="11.25" hidden="1">
      <c r="B612" s="27">
        <v>610</v>
      </c>
      <c r="C612" s="29">
        <f t="shared" ca="1" si="58"/>
        <v>6.3888641999720816E-2</v>
      </c>
      <c r="D612" s="29">
        <f t="shared" ca="1" si="59"/>
        <v>4.5909554836821097E-2</v>
      </c>
      <c r="E612" s="29">
        <f t="shared" ca="1" si="60"/>
        <v>9.4829780704846878E-2</v>
      </c>
      <c r="F612" s="30">
        <f ca="1">'Single Simulation'!$AP$4*Results!C612</f>
        <v>121139.00231125184</v>
      </c>
      <c r="G612" s="30">
        <f ca="1">'Single Simulation'!$AP$5*Results!D612</f>
        <v>43423.49677189198</v>
      </c>
      <c r="H612" s="30">
        <f t="shared" ca="1" si="56"/>
        <v>77715.50553935986</v>
      </c>
      <c r="I612" s="30">
        <f t="shared" ca="1" si="57"/>
        <v>7369.7443476638082</v>
      </c>
      <c r="J612" s="25">
        <f ca="1">'Single Simulation'!$AP$7*Results!E612</f>
        <v>1324964.927842991</v>
      </c>
      <c r="K612" s="28" t="str">
        <f t="shared" ca="1" si="61"/>
        <v>No</v>
      </c>
    </row>
    <row r="613" spans="2:11" ht="11.25" hidden="1">
      <c r="B613" s="27">
        <v>611</v>
      </c>
      <c r="C613" s="24">
        <f t="shared" ca="1" si="58"/>
        <v>7.3136181329302885E-2</v>
      </c>
      <c r="D613" s="24">
        <f t="shared" ca="1" si="59"/>
        <v>0.08</v>
      </c>
      <c r="E613" s="24">
        <f t="shared" ca="1" si="60"/>
        <v>6.1192688105395271E-2</v>
      </c>
      <c r="F613" s="25">
        <f ca="1">'Single Simulation'!$AP$4*Results!C613</f>
        <v>138673.225189624</v>
      </c>
      <c r="G613" s="25">
        <f ca="1">'Single Simulation'!$AP$5*Results!D613</f>
        <v>75667.90299097354</v>
      </c>
      <c r="H613" s="25">
        <f t="shared" ca="1" si="56"/>
        <v>63005.322198650465</v>
      </c>
      <c r="I613" s="25">
        <f t="shared" ca="1" si="57"/>
        <v>3855.465030281955</v>
      </c>
      <c r="J613" s="25">
        <f ca="1">'Single Simulation'!$AP$7*Results!E613</f>
        <v>854986.32367858768</v>
      </c>
      <c r="K613" s="28" t="str">
        <f t="shared" ca="1" si="61"/>
        <v>No</v>
      </c>
    </row>
    <row r="614" spans="2:11" ht="11.25" hidden="1">
      <c r="B614" s="27">
        <v>612</v>
      </c>
      <c r="C614" s="29">
        <f t="shared" ca="1" si="58"/>
        <v>5.7201122770399328E-2</v>
      </c>
      <c r="D614" s="29">
        <f t="shared" ca="1" si="59"/>
        <v>5.5917611219533189E-2</v>
      </c>
      <c r="E614" s="29">
        <f t="shared" ca="1" si="60"/>
        <v>5.0360362671257465E-2</v>
      </c>
      <c r="F614" s="30">
        <f ca="1">'Single Simulation'!$AP$4*Results!C614</f>
        <v>108458.82345597335</v>
      </c>
      <c r="G614" s="30">
        <f ca="1">'Single Simulation'!$AP$5*Results!D614</f>
        <v>52889.604765582633</v>
      </c>
      <c r="H614" s="30">
        <f t="shared" ca="1" si="56"/>
        <v>55569.21869039072</v>
      </c>
      <c r="I614" s="30">
        <f t="shared" ca="1" si="57"/>
        <v>2798.4860066064953</v>
      </c>
      <c r="J614" s="25">
        <f ca="1">'Single Simulation'!$AP$7*Results!E614</f>
        <v>703636.70354305755</v>
      </c>
      <c r="K614" s="28" t="str">
        <f t="shared" ca="1" si="61"/>
        <v>No</v>
      </c>
    </row>
    <row r="615" spans="2:11" ht="11.25" hidden="1">
      <c r="B615" s="27">
        <v>613</v>
      </c>
      <c r="C615" s="24">
        <f t="shared" ca="1" si="58"/>
        <v>2.9374945399821144E-2</v>
      </c>
      <c r="D615" s="24">
        <f t="shared" ca="1" si="59"/>
        <v>5.3893224514318487E-2</v>
      </c>
      <c r="E615" s="24">
        <f t="shared" ca="1" si="60"/>
        <v>8.4979818323538042E-2</v>
      </c>
      <c r="F615" s="25">
        <f ca="1">'Single Simulation'!$AP$4*Results!C615</f>
        <v>55697.718206271784</v>
      </c>
      <c r="G615" s="25">
        <f ca="1">'Single Simulation'!$AP$5*Results!D615</f>
        <v>50974.841055252604</v>
      </c>
      <c r="H615" s="25">
        <f t="shared" ca="1" si="56"/>
        <v>4722.87715101918</v>
      </c>
      <c r="I615" s="25">
        <f t="shared" ca="1" si="57"/>
        <v>401.34924225799887</v>
      </c>
      <c r="J615" s="25">
        <f ca="1">'Single Simulation'!$AP$7*Results!E615</f>
        <v>1187340.9177608925</v>
      </c>
      <c r="K615" s="28" t="str">
        <f t="shared" ca="1" si="61"/>
        <v>No</v>
      </c>
    </row>
    <row r="616" spans="2:11" ht="11.25" hidden="1">
      <c r="B616" s="27">
        <v>614</v>
      </c>
      <c r="C616" s="29">
        <f t="shared" ca="1" si="58"/>
        <v>5.4937592837962068E-2</v>
      </c>
      <c r="D616" s="29">
        <f t="shared" ca="1" si="59"/>
        <v>5.1144621001083634E-2</v>
      </c>
      <c r="E616" s="29">
        <f t="shared" ca="1" si="60"/>
        <v>2.4232710355031654E-2</v>
      </c>
      <c r="F616" s="30">
        <f ca="1">'Single Simulation'!$AP$4*Results!C616</f>
        <v>104166.95327162504</v>
      </c>
      <c r="G616" s="30">
        <f ca="1">'Single Simulation'!$AP$5*Results!D616</f>
        <v>48375.077755251303</v>
      </c>
      <c r="H616" s="30">
        <f t="shared" ca="1" si="56"/>
        <v>55791.875516373737</v>
      </c>
      <c r="I616" s="30">
        <f t="shared" ca="1" si="57"/>
        <v>1351.988359552267</v>
      </c>
      <c r="J616" s="25">
        <f ca="1">'Single Simulation'!$AP$7*Results!E616</f>
        <v>338580.25494045625</v>
      </c>
      <c r="K616" s="28" t="str">
        <f t="shared" ca="1" si="61"/>
        <v>No</v>
      </c>
    </row>
    <row r="617" spans="2:11" ht="11.25" hidden="1">
      <c r="B617" s="27">
        <v>615</v>
      </c>
      <c r="C617" s="24">
        <f t="shared" ca="1" si="58"/>
        <v>7.7209349753693451E-2</v>
      </c>
      <c r="D617" s="24">
        <f t="shared" ca="1" si="59"/>
        <v>3.8411188253150763E-2</v>
      </c>
      <c r="E617" s="24">
        <f t="shared" ca="1" si="60"/>
        <v>0.16421343765169016</v>
      </c>
      <c r="F617" s="25">
        <f ca="1">'Single Simulation'!$AP$4*Results!C617</f>
        <v>146396.34378680008</v>
      </c>
      <c r="G617" s="25">
        <f ca="1">'Single Simulation'!$AP$5*Results!D617</f>
        <v>36331.175831342924</v>
      </c>
      <c r="H617" s="25">
        <f t="shared" ca="1" si="56"/>
        <v>110065.16795545715</v>
      </c>
      <c r="I617" s="25">
        <f t="shared" ca="1" si="57"/>
        <v>18074.179595676269</v>
      </c>
      <c r="J617" s="25">
        <f ca="1">'Single Simulation'!$AP$7*Results!E617</f>
        <v>2294395.7473256132</v>
      </c>
      <c r="K617" s="28" t="str">
        <f t="shared" ca="1" si="61"/>
        <v>No</v>
      </c>
    </row>
    <row r="618" spans="2:11" ht="11.25" hidden="1">
      <c r="B618" s="27">
        <v>616</v>
      </c>
      <c r="C618" s="29">
        <f t="shared" ca="1" si="58"/>
        <v>6.1200505740314853E-2</v>
      </c>
      <c r="D618" s="29">
        <f t="shared" ca="1" si="59"/>
        <v>3.3361024282447568E-2</v>
      </c>
      <c r="E618" s="29">
        <f t="shared" ca="1" si="60"/>
        <v>0.12687782343653331</v>
      </c>
      <c r="F618" s="30">
        <f ca="1">'Single Simulation'!$AP$4*Results!C618</f>
        <v>116042.03774370693</v>
      </c>
      <c r="G618" s="30">
        <f ca="1">'Single Simulation'!$AP$5*Results!D618</f>
        <v>31554.484363546941</v>
      </c>
      <c r="H618" s="30">
        <f t="shared" ca="1" si="56"/>
        <v>84487.553380159981</v>
      </c>
      <c r="I618" s="30">
        <f t="shared" ca="1" si="57"/>
        <v>10719.596880352621</v>
      </c>
      <c r="J618" s="25">
        <f ca="1">'Single Simulation'!$AP$7*Results!E618</f>
        <v>1772741.2730995575</v>
      </c>
      <c r="K618" s="28" t="str">
        <f t="shared" ca="1" si="61"/>
        <v>No</v>
      </c>
    </row>
    <row r="619" spans="2:11" ht="11.25" hidden="1">
      <c r="B619" s="27">
        <v>617</v>
      </c>
      <c r="C619" s="24">
        <f t="shared" ca="1" si="58"/>
        <v>3.5533200454173172E-2</v>
      </c>
      <c r="D619" s="24">
        <f t="shared" ca="1" si="59"/>
        <v>4.542363943098001E-2</v>
      </c>
      <c r="E619" s="24">
        <f t="shared" ca="1" si="60"/>
        <v>0.14103131683890968</v>
      </c>
      <c r="F619" s="25">
        <f ca="1">'Single Simulation'!$AP$4*Results!C619</f>
        <v>67374.361345214827</v>
      </c>
      <c r="G619" s="25">
        <f ca="1">'Single Simulation'!$AP$5*Results!D619</f>
        <v>42963.894274504448</v>
      </c>
      <c r="H619" s="25">
        <f t="shared" ca="1" si="56"/>
        <v>24410.46707071038</v>
      </c>
      <c r="I619" s="25">
        <f t="shared" ca="1" si="57"/>
        <v>3442.6403156351271</v>
      </c>
      <c r="J619" s="25">
        <f ca="1">'Single Simulation'!$AP$7*Results!E619</f>
        <v>1970494.36527398</v>
      </c>
      <c r="K619" s="28" t="str">
        <f t="shared" ca="1" si="61"/>
        <v>No</v>
      </c>
    </row>
    <row r="620" spans="2:11" ht="11.25" hidden="1">
      <c r="B620" s="27">
        <v>618</v>
      </c>
      <c r="C620" s="29">
        <f t="shared" ca="1" si="58"/>
        <v>4.4586930837239108E-2</v>
      </c>
      <c r="D620" s="29">
        <f t="shared" ca="1" si="59"/>
        <v>4.3237859591072215E-2</v>
      </c>
      <c r="E620" s="29">
        <f t="shared" ca="1" si="60"/>
        <v>7.099071743846197E-2</v>
      </c>
      <c r="F620" s="30">
        <f ca="1">'Single Simulation'!$AP$4*Results!C620</f>
        <v>84541.10384389665</v>
      </c>
      <c r="G620" s="30">
        <f ca="1">'Single Simulation'!$AP$5*Results!D620</f>
        <v>40896.477063432336</v>
      </c>
      <c r="H620" s="30">
        <f t="shared" ca="1" si="56"/>
        <v>43644.626780464314</v>
      </c>
      <c r="I620" s="30">
        <f t="shared" ca="1" si="57"/>
        <v>3098.3633674790722</v>
      </c>
      <c r="J620" s="25">
        <f ca="1">'Single Simulation'!$AP$7*Results!E620</f>
        <v>991884.72344074911</v>
      </c>
      <c r="K620" s="28" t="str">
        <f t="shared" ca="1" si="61"/>
        <v>No</v>
      </c>
    </row>
    <row r="621" spans="2:11" ht="11.25" hidden="1">
      <c r="B621" s="27">
        <v>619</v>
      </c>
      <c r="C621" s="24">
        <f t="shared" ca="1" si="58"/>
        <v>7.1349595377794367E-2</v>
      </c>
      <c r="D621" s="24">
        <f t="shared" ca="1" si="59"/>
        <v>4.9200875412261286E-2</v>
      </c>
      <c r="E621" s="24">
        <f t="shared" ca="1" si="60"/>
        <v>9.0542880505633666E-2</v>
      </c>
      <c r="F621" s="25">
        <f ca="1">'Single Simulation'!$AP$4*Results!C621</f>
        <v>135285.68660788384</v>
      </c>
      <c r="G621" s="25">
        <f ca="1">'Single Simulation'!$AP$5*Results!D621</f>
        <v>46536.588347074525</v>
      </c>
      <c r="H621" s="25">
        <f t="shared" ca="1" si="56"/>
        <v>88749.098260809318</v>
      </c>
      <c r="I621" s="25">
        <f t="shared" ca="1" si="57"/>
        <v>8035.5989988111987</v>
      </c>
      <c r="J621" s="25">
        <f ca="1">'Single Simulation'!$AP$7*Results!E621</f>
        <v>1265068.2121604003</v>
      </c>
      <c r="K621" s="28" t="str">
        <f t="shared" ca="1" si="61"/>
        <v>No</v>
      </c>
    </row>
    <row r="622" spans="2:11" ht="11.25" hidden="1">
      <c r="B622" s="27">
        <v>620</v>
      </c>
      <c r="C622" s="29">
        <f t="shared" ca="1" si="58"/>
        <v>4.1693348408794531E-2</v>
      </c>
      <c r="D622" s="29">
        <f t="shared" ca="1" si="59"/>
        <v>6.3807862477032615E-2</v>
      </c>
      <c r="E622" s="29">
        <f t="shared" ca="1" si="60"/>
        <v>0.12228236755790019</v>
      </c>
      <c r="F622" s="30">
        <f ca="1">'Single Simulation'!$AP$4*Results!C622</f>
        <v>79054.593604898648</v>
      </c>
      <c r="G622" s="30">
        <f ca="1">'Single Simulation'!$AP$5*Results!D622</f>
        <v>60352.589349668553</v>
      </c>
      <c r="H622" s="30">
        <f t="shared" ca="1" si="56"/>
        <v>18702.004255230095</v>
      </c>
      <c r="I622" s="30">
        <f t="shared" ca="1" si="57"/>
        <v>2286.92535840746</v>
      </c>
      <c r="J622" s="25">
        <f ca="1">'Single Simulation'!$AP$7*Results!E622</f>
        <v>1708533.4069484174</v>
      </c>
      <c r="K622" s="28" t="str">
        <f t="shared" ca="1" si="61"/>
        <v>No</v>
      </c>
    </row>
    <row r="623" spans="2:11" ht="11.25" hidden="1">
      <c r="B623" s="27">
        <v>621</v>
      </c>
      <c r="C623" s="24">
        <f t="shared" ca="1" si="58"/>
        <v>5.5024536402919252E-2</v>
      </c>
      <c r="D623" s="24">
        <f t="shared" ca="1" si="59"/>
        <v>5.6633981270710232E-2</v>
      </c>
      <c r="E623" s="24">
        <f t="shared" ca="1" si="60"/>
        <v>2.0207207509005218E-2</v>
      </c>
      <c r="F623" s="25">
        <f ca="1">'Single Simulation'!$AP$4*Results!C623</f>
        <v>104331.80662249675</v>
      </c>
      <c r="G623" s="25">
        <f ca="1">'Single Simulation'!$AP$5*Results!D623</f>
        <v>53567.182509808925</v>
      </c>
      <c r="H623" s="25">
        <f t="shared" ca="1" si="56"/>
        <v>50764.624112687823</v>
      </c>
      <c r="I623" s="25">
        <f t="shared" ca="1" si="57"/>
        <v>1025.8112935617328</v>
      </c>
      <c r="J623" s="25">
        <f ca="1">'Single Simulation'!$AP$7*Results!E623</f>
        <v>282335.79198511207</v>
      </c>
      <c r="K623" s="28" t="str">
        <f t="shared" ca="1" si="61"/>
        <v>No</v>
      </c>
    </row>
    <row r="624" spans="2:11" ht="11.25" hidden="1">
      <c r="B624" s="27">
        <v>622</v>
      </c>
      <c r="C624" s="29">
        <f t="shared" ca="1" si="58"/>
        <v>4.28210909231991E-2</v>
      </c>
      <c r="D624" s="29">
        <f t="shared" ca="1" si="59"/>
        <v>3.5314119206404357E-2</v>
      </c>
      <c r="E624" s="29">
        <f t="shared" ca="1" si="60"/>
        <v>8.5339846757043369E-2</v>
      </c>
      <c r="F624" s="30">
        <f ca="1">'Single Simulation'!$AP$4*Results!C624</f>
        <v>81192.901742040602</v>
      </c>
      <c r="G624" s="30">
        <f ca="1">'Single Simulation'!$AP$5*Results!D624</f>
        <v>33401.816829023504</v>
      </c>
      <c r="H624" s="30">
        <f t="shared" ca="1" si="56"/>
        <v>47791.084913017097</v>
      </c>
      <c r="I624" s="30">
        <f t="shared" ca="1" si="57"/>
        <v>4078.4838628297266</v>
      </c>
      <c r="J624" s="25">
        <f ca="1">'Single Simulation'!$AP$7*Results!E624</f>
        <v>1192371.2473037343</v>
      </c>
      <c r="K624" s="28" t="str">
        <f t="shared" ca="1" si="61"/>
        <v>No</v>
      </c>
    </row>
    <row r="625" spans="2:11" ht="11.25" hidden="1">
      <c r="B625" s="27">
        <v>623</v>
      </c>
      <c r="C625" s="24">
        <f t="shared" ca="1" si="58"/>
        <v>7.6090126289454663E-2</v>
      </c>
      <c r="D625" s="24">
        <f t="shared" ca="1" si="59"/>
        <v>5.5967264075090783E-2</v>
      </c>
      <c r="E625" s="24">
        <f t="shared" ca="1" si="60"/>
        <v>0.10073018832436213</v>
      </c>
      <c r="F625" s="25">
        <f ca="1">'Single Simulation'!$AP$4*Results!C625</f>
        <v>144274.18858710397</v>
      </c>
      <c r="G625" s="25">
        <f ca="1">'Single Simulation'!$AP$5*Results!D625</f>
        <v>52936.568858802093</v>
      </c>
      <c r="H625" s="25">
        <f t="shared" ca="1" si="56"/>
        <v>91337.619728301885</v>
      </c>
      <c r="I625" s="25">
        <f t="shared" ca="1" si="57"/>
        <v>9200.455636330822</v>
      </c>
      <c r="J625" s="25">
        <f ca="1">'Single Simulation'!$AP$7*Results!E625</f>
        <v>1407405.6241909864</v>
      </c>
      <c r="K625" s="28" t="str">
        <f t="shared" ca="1" si="61"/>
        <v>No</v>
      </c>
    </row>
    <row r="626" spans="2:11" ht="11.25" hidden="1">
      <c r="B626" s="27">
        <v>624</v>
      </c>
      <c r="C626" s="29">
        <f t="shared" ca="1" si="58"/>
        <v>6.233985146196281E-2</v>
      </c>
      <c r="D626" s="29">
        <f t="shared" ca="1" si="59"/>
        <v>3.3205213552449174E-2</v>
      </c>
      <c r="E626" s="29">
        <f t="shared" ca="1" si="60"/>
        <v>1.5213723156467872E-2</v>
      </c>
      <c r="F626" s="30">
        <f ca="1">'Single Simulation'!$AP$4*Results!C626</f>
        <v>118202.34667637495</v>
      </c>
      <c r="G626" s="30">
        <f ca="1">'Single Simulation'!$AP$5*Results!D626</f>
        <v>31407.11097351605</v>
      </c>
      <c r="H626" s="30">
        <f t="shared" ca="1" si="56"/>
        <v>86795.235702858889</v>
      </c>
      <c r="I626" s="30">
        <f t="shared" ca="1" si="57"/>
        <v>1320.4786872836712</v>
      </c>
      <c r="J626" s="25">
        <f ca="1">'Single Simulation'!$AP$7*Results!E626</f>
        <v>212566.65843162083</v>
      </c>
      <c r="K626" s="28" t="str">
        <f t="shared" ca="1" si="61"/>
        <v>No</v>
      </c>
    </row>
    <row r="627" spans="2:11" ht="11.25" hidden="1">
      <c r="B627" s="27">
        <v>625</v>
      </c>
      <c r="C627" s="24">
        <f t="shared" ca="1" si="58"/>
        <v>6.283069323318323E-2</v>
      </c>
      <c r="D627" s="24">
        <f t="shared" ca="1" si="59"/>
        <v>3.5366196741383221E-2</v>
      </c>
      <c r="E627" s="24">
        <f t="shared" ca="1" si="60"/>
        <v>5.8079395997803762E-3</v>
      </c>
      <c r="F627" s="25">
        <f ca="1">'Single Simulation'!$AP$4*Results!C627</f>
        <v>119133.0298243841</v>
      </c>
      <c r="G627" s="25">
        <f ca="1">'Single Simulation'!$AP$5*Results!D627</f>
        <v>33451.074302333378</v>
      </c>
      <c r="H627" s="25">
        <f t="shared" ref="H627:H690" ca="1" si="62">F627-G627</f>
        <v>85681.955522050717</v>
      </c>
      <c r="I627" s="25">
        <f t="shared" ref="I627:I690" ca="1" si="63">H627*E627</f>
        <v>497.63562246313921</v>
      </c>
      <c r="J627" s="25">
        <f ca="1">'Single Simulation'!$AP$7*Results!E627</f>
        <v>81148.730024914403</v>
      </c>
      <c r="K627" s="28" t="str">
        <f t="shared" ca="1" si="61"/>
        <v>No</v>
      </c>
    </row>
    <row r="628" spans="2:11" ht="11.25" hidden="1">
      <c r="B628" s="27">
        <v>626</v>
      </c>
      <c r="C628" s="29">
        <f t="shared" ca="1" si="58"/>
        <v>3.1382076802018787E-2</v>
      </c>
      <c r="D628" s="29">
        <f t="shared" ca="1" si="59"/>
        <v>4.6845889142641185E-2</v>
      </c>
      <c r="E628" s="29">
        <f t="shared" ca="1" si="60"/>
        <v>-8.4881178727775758E-3</v>
      </c>
      <c r="F628" s="30">
        <f ca="1">'Single Simulation'!$AP$4*Results!C628</f>
        <v>59503.43214789647</v>
      </c>
      <c r="G628" s="30">
        <f ca="1">'Single Simulation'!$AP$5*Results!D628</f>
        <v>44309.127439640921</v>
      </c>
      <c r="H628" s="30">
        <f t="shared" ca="1" si="62"/>
        <v>15194.304708255549</v>
      </c>
      <c r="I628" s="30">
        <f t="shared" ca="1" si="63"/>
        <v>-128.9710493585724</v>
      </c>
      <c r="J628" s="25">
        <f ca="1">'Single Simulation'!$AP$7*Results!E628</f>
        <v>-118596.27219672271</v>
      </c>
      <c r="K628" s="28" t="str">
        <f t="shared" ca="1" si="61"/>
        <v>No</v>
      </c>
    </row>
    <row r="629" spans="2:11" ht="11.25" hidden="1">
      <c r="B629" s="27">
        <v>627</v>
      </c>
      <c r="C629" s="24">
        <f t="shared" ca="1" si="58"/>
        <v>9.2882701725334069E-2</v>
      </c>
      <c r="D629" s="24">
        <f t="shared" ca="1" si="59"/>
        <v>5.6955483383387129E-2</v>
      </c>
      <c r="E629" s="24">
        <f t="shared" ca="1" si="60"/>
        <v>9.6808006775594369E-2</v>
      </c>
      <c r="F629" s="25">
        <f ca="1">'Single Simulation'!$AP$4*Results!C629</f>
        <v>176114.52469172419</v>
      </c>
      <c r="G629" s="25">
        <f ca="1">'Single Simulation'!$AP$5*Results!D629</f>
        <v>53871.274893226779</v>
      </c>
      <c r="H629" s="25">
        <f t="shared" ca="1" si="62"/>
        <v>122243.24979849742</v>
      </c>
      <c r="I629" s="25">
        <f t="shared" ca="1" si="63"/>
        <v>11834.125354763613</v>
      </c>
      <c r="J629" s="25">
        <f ca="1">'Single Simulation'!$AP$7*Results!E629</f>
        <v>1352604.7699221692</v>
      </c>
      <c r="K629" s="28" t="str">
        <f t="shared" ca="1" si="61"/>
        <v>No</v>
      </c>
    </row>
    <row r="630" spans="2:11" ht="11.25" hidden="1">
      <c r="B630" s="27">
        <v>628</v>
      </c>
      <c r="C630" s="29">
        <f t="shared" ca="1" si="58"/>
        <v>6.6659243988735503E-2</v>
      </c>
      <c r="D630" s="29">
        <f t="shared" ca="1" si="59"/>
        <v>3.8953617307961992E-2</v>
      </c>
      <c r="E630" s="29">
        <f t="shared" ca="1" si="60"/>
        <v>3.8696848188833365E-2</v>
      </c>
      <c r="F630" s="30">
        <f ca="1">'Single Simulation'!$AP$4*Results!C630</f>
        <v>126392.32982371133</v>
      </c>
      <c r="G630" s="30">
        <f ca="1">'Single Simulation'!$AP$5*Results!D630</f>
        <v>36844.231695079696</v>
      </c>
      <c r="H630" s="30">
        <f t="shared" ca="1" si="62"/>
        <v>89548.098128631638</v>
      </c>
      <c r="I630" s="30">
        <f t="shared" ca="1" si="63"/>
        <v>3465.2291588824114</v>
      </c>
      <c r="J630" s="25">
        <f ca="1">'Single Simulation'!$AP$7*Results!E630</f>
        <v>540673.68169763358</v>
      </c>
      <c r="K630" s="28" t="str">
        <f t="shared" ca="1" si="61"/>
        <v>No</v>
      </c>
    </row>
    <row r="631" spans="2:11" ht="11.25" hidden="1">
      <c r="B631" s="27">
        <v>629</v>
      </c>
      <c r="C631" s="24">
        <f t="shared" ca="1" si="58"/>
        <v>5.629146909023975E-2</v>
      </c>
      <c r="D631" s="24">
        <f t="shared" ca="1" si="59"/>
        <v>5.1243585271484746E-2</v>
      </c>
      <c r="E631" s="24">
        <f t="shared" ca="1" si="60"/>
        <v>8.1346168120820267E-2</v>
      </c>
      <c r="F631" s="25">
        <f ca="1">'Single Simulation'!$AP$4*Results!C631</f>
        <v>106734.03269795768</v>
      </c>
      <c r="G631" s="25">
        <f ca="1">'Single Simulation'!$AP$5*Results!D631</f>
        <v>48468.68299040485</v>
      </c>
      <c r="H631" s="25">
        <f t="shared" ca="1" si="62"/>
        <v>58265.349707552828</v>
      </c>
      <c r="I631" s="25">
        <f t="shared" ca="1" si="63"/>
        <v>4739.6629329289781</v>
      </c>
      <c r="J631" s="25">
        <f ca="1">'Single Simulation'!$AP$7*Results!E631</f>
        <v>1136571.4332923435</v>
      </c>
      <c r="K631" s="28" t="str">
        <f t="shared" ca="1" si="61"/>
        <v>No</v>
      </c>
    </row>
    <row r="632" spans="2:11" ht="11.25" hidden="1">
      <c r="B632" s="27">
        <v>630</v>
      </c>
      <c r="C632" s="29">
        <f t="shared" ca="1" si="58"/>
        <v>2.5309197782853669E-2</v>
      </c>
      <c r="D632" s="29">
        <f t="shared" ca="1" si="59"/>
        <v>4.7251798094553321E-2</v>
      </c>
      <c r="E632" s="29">
        <f t="shared" ca="1" si="60"/>
        <v>1.7995852214586446E-2</v>
      </c>
      <c r="F632" s="30">
        <f ca="1">'Single Simulation'!$AP$4*Results!C632</f>
        <v>47988.67017280533</v>
      </c>
      <c r="G632" s="30">
        <f ca="1">'Single Simulation'!$AP$5*Results!D632</f>
        <v>44693.055929596609</v>
      </c>
      <c r="H632" s="30">
        <f t="shared" ca="1" si="62"/>
        <v>3295.6142432087217</v>
      </c>
      <c r="I632" s="30">
        <f t="shared" ca="1" si="63"/>
        <v>59.307386877070307</v>
      </c>
      <c r="J632" s="25">
        <f ca="1">'Single Simulation'!$AP$7*Results!E632</f>
        <v>251438.66044766639</v>
      </c>
      <c r="K632" s="28" t="str">
        <f t="shared" ca="1" si="61"/>
        <v>No</v>
      </c>
    </row>
    <row r="633" spans="2:11" ht="11.25" hidden="1">
      <c r="B633" s="27">
        <v>631</v>
      </c>
      <c r="C633" s="24">
        <f t="shared" ca="1" si="58"/>
        <v>3.1687451448101867E-2</v>
      </c>
      <c r="D633" s="24">
        <f t="shared" ca="1" si="59"/>
        <v>6.6567341587943293E-2</v>
      </c>
      <c r="E633" s="24">
        <f t="shared" ca="1" si="60"/>
        <v>8.6438735504075742E-2</v>
      </c>
      <c r="F633" s="25">
        <f ca="1">'Single Simulation'!$AP$4*Results!C633</f>
        <v>60082.451810856561</v>
      </c>
      <c r="G633" s="25">
        <f ca="1">'Single Simulation'!$AP$5*Results!D633</f>
        <v>62962.63932054364</v>
      </c>
      <c r="H633" s="25">
        <f t="shared" ca="1" si="62"/>
        <v>-2880.187509687079</v>
      </c>
      <c r="I633" s="25">
        <f t="shared" ca="1" si="63"/>
        <v>-248.959766351984</v>
      </c>
      <c r="J633" s="25">
        <f ca="1">'Single Simulation'!$AP$7*Results!E633</f>
        <v>1207724.9583278156</v>
      </c>
      <c r="K633" s="28" t="str">
        <f t="shared" ca="1" si="61"/>
        <v>No</v>
      </c>
    </row>
    <row r="634" spans="2:11" ht="11.25" hidden="1">
      <c r="B634" s="27">
        <v>632</v>
      </c>
      <c r="C634" s="29">
        <f t="shared" ca="1" si="58"/>
        <v>3.599605626526603E-2</v>
      </c>
      <c r="D634" s="29">
        <f t="shared" ca="1" si="59"/>
        <v>4.1073846363776513E-2</v>
      </c>
      <c r="E634" s="29">
        <f t="shared" ca="1" si="60"/>
        <v>9.0282169084543312E-3</v>
      </c>
      <c r="F634" s="30">
        <f ca="1">'Single Simulation'!$AP$4*Results!C634</f>
        <v>68251.98042451845</v>
      </c>
      <c r="G634" s="30">
        <f ca="1">'Single Simulation'!$AP$5*Results!D634</f>
        <v>38849.647776504906</v>
      </c>
      <c r="H634" s="30">
        <f t="shared" ca="1" si="62"/>
        <v>29402.332648013544</v>
      </c>
      <c r="I634" s="30">
        <f t="shared" ca="1" si="63"/>
        <v>265.45063676079468</v>
      </c>
      <c r="J634" s="25">
        <f ca="1">'Single Simulation'!$AP$7*Results!E634</f>
        <v>126142.55432997819</v>
      </c>
      <c r="K634" s="28" t="str">
        <f t="shared" ca="1" si="61"/>
        <v>No</v>
      </c>
    </row>
    <row r="635" spans="2:11" ht="11.25" hidden="1">
      <c r="B635" s="27">
        <v>633</v>
      </c>
      <c r="C635" s="24">
        <f t="shared" ca="1" si="58"/>
        <v>7.1630163202370395E-2</v>
      </c>
      <c r="D635" s="24">
        <f t="shared" ca="1" si="59"/>
        <v>4.6823181566216093E-2</v>
      </c>
      <c r="E635" s="24">
        <f t="shared" ca="1" si="60"/>
        <v>6.2154409221508763E-2</v>
      </c>
      <c r="F635" s="25">
        <f ca="1">'Single Simulation'!$AP$4*Results!C635</f>
        <v>135817.67015434781</v>
      </c>
      <c r="G635" s="25">
        <f ca="1">'Single Simulation'!$AP$5*Results!D635</f>
        <v>44287.649506014743</v>
      </c>
      <c r="H635" s="25">
        <f t="shared" ca="1" si="62"/>
        <v>91530.020648333069</v>
      </c>
      <c r="I635" s="25">
        <f t="shared" ca="1" si="63"/>
        <v>5688.9943594296401</v>
      </c>
      <c r="J635" s="25">
        <f ca="1">'Single Simulation'!$AP$7*Results!E635</f>
        <v>868423.52388874558</v>
      </c>
      <c r="K635" s="28" t="str">
        <f t="shared" ca="1" si="61"/>
        <v>No</v>
      </c>
    </row>
    <row r="636" spans="2:11" ht="11.25" hidden="1">
      <c r="B636" s="27">
        <v>634</v>
      </c>
      <c r="C636" s="29">
        <f t="shared" ca="1" si="58"/>
        <v>7.6499443600729522E-2</v>
      </c>
      <c r="D636" s="29">
        <f t="shared" ca="1" si="59"/>
        <v>3.9990971359373524E-2</v>
      </c>
      <c r="E636" s="29">
        <f t="shared" ca="1" si="60"/>
        <v>0.14001077978869492</v>
      </c>
      <c r="F636" s="30">
        <f ca="1">'Single Simulation'!$AP$4*Results!C636</f>
        <v>145050.2935278973</v>
      </c>
      <c r="G636" s="30">
        <f ca="1">'Single Simulation'!$AP$5*Results!D636</f>
        <v>37825.41176669846</v>
      </c>
      <c r="H636" s="30">
        <f t="shared" ca="1" si="62"/>
        <v>107224.88176119883</v>
      </c>
      <c r="I636" s="30">
        <f t="shared" ca="1" si="63"/>
        <v>15012.63930813606</v>
      </c>
      <c r="J636" s="25">
        <f ca="1">'Single Simulation'!$AP$7*Results!E636</f>
        <v>1956235.3868280898</v>
      </c>
      <c r="K636" s="28" t="str">
        <f t="shared" ca="1" si="61"/>
        <v>No</v>
      </c>
    </row>
    <row r="637" spans="2:11" ht="11.25" hidden="1">
      <c r="B637" s="27">
        <v>635</v>
      </c>
      <c r="C637" s="24">
        <f t="shared" ca="1" si="58"/>
        <v>8.059075841643086E-2</v>
      </c>
      <c r="D637" s="24">
        <f t="shared" ca="1" si="59"/>
        <v>4.2332714762466007E-2</v>
      </c>
      <c r="E637" s="24">
        <f t="shared" ca="1" si="60"/>
        <v>2.5208011175310845E-2</v>
      </c>
      <c r="F637" s="25">
        <f ca="1">'Single Simulation'!$AP$4*Results!C637</f>
        <v>152807.81942612299</v>
      </c>
      <c r="G637" s="25">
        <f ca="1">'Single Simulation'!$AP$5*Results!D637</f>
        <v>40040.346924885387</v>
      </c>
      <c r="H637" s="25">
        <f t="shared" ca="1" si="62"/>
        <v>112767.47250123761</v>
      </c>
      <c r="I637" s="25">
        <f t="shared" ca="1" si="63"/>
        <v>2842.6437070227562</v>
      </c>
      <c r="J637" s="25">
        <f ca="1">'Single Simulation'!$AP$7*Results!E637</f>
        <v>352207.19124001876</v>
      </c>
      <c r="K637" s="28" t="str">
        <f t="shared" ca="1" si="61"/>
        <v>No</v>
      </c>
    </row>
    <row r="638" spans="2:11" ht="11.25" hidden="1">
      <c r="B638" s="27">
        <v>636</v>
      </c>
      <c r="C638" s="29">
        <f t="shared" ca="1" si="58"/>
        <v>8.21622980008552E-2</v>
      </c>
      <c r="D638" s="29">
        <f t="shared" ca="1" si="59"/>
        <v>6.8595580727067784E-2</v>
      </c>
      <c r="E638" s="29">
        <f t="shared" ca="1" si="60"/>
        <v>4.086115427624544E-2</v>
      </c>
      <c r="F638" s="30">
        <f ca="1">'Single Simulation'!$AP$4*Results!C638</f>
        <v>155787.60943873017</v>
      </c>
      <c r="G638" s="30">
        <f ca="1">'Single Simulation'!$AP$5*Results!D638</f>
        <v>64881.046850815736</v>
      </c>
      <c r="H638" s="30">
        <f t="shared" ca="1" si="62"/>
        <v>90906.562587914435</v>
      </c>
      <c r="I638" s="30">
        <f t="shared" ca="1" si="63"/>
        <v>3714.5470786279338</v>
      </c>
      <c r="J638" s="25">
        <f ca="1">'Single Simulation'!$AP$7*Results!E638</f>
        <v>570913.44011132687</v>
      </c>
      <c r="K638" s="28" t="str">
        <f t="shared" ca="1" si="61"/>
        <v>No</v>
      </c>
    </row>
    <row r="639" spans="2:11" ht="11.25" hidden="1">
      <c r="B639" s="27">
        <v>637</v>
      </c>
      <c r="C639" s="24">
        <f t="shared" ca="1" si="58"/>
        <v>5.2414981573918593E-2</v>
      </c>
      <c r="D639" s="24">
        <f t="shared" ca="1" si="59"/>
        <v>4.5214693003418349E-2</v>
      </c>
      <c r="E639" s="24">
        <f t="shared" ca="1" si="60"/>
        <v>1.2155950703549877E-2</v>
      </c>
      <c r="F639" s="25">
        <f ca="1">'Single Simulation'!$AP$4*Results!C639</f>
        <v>99383.839995454793</v>
      </c>
      <c r="G639" s="25">
        <f ca="1">'Single Simulation'!$AP$5*Results!D639</f>
        <v>42766.262549366365</v>
      </c>
      <c r="H639" s="25">
        <f t="shared" ca="1" si="62"/>
        <v>56617.577446088428</v>
      </c>
      <c r="I639" s="25">
        <f t="shared" ca="1" si="63"/>
        <v>688.24048038906824</v>
      </c>
      <c r="J639" s="25">
        <f ca="1">'Single Simulation'!$AP$7*Results!E639</f>
        <v>169843.3575094064</v>
      </c>
      <c r="K639" s="28" t="str">
        <f t="shared" ca="1" si="61"/>
        <v>No</v>
      </c>
    </row>
    <row r="640" spans="2:11" ht="11.25" hidden="1">
      <c r="B640" s="27">
        <v>638</v>
      </c>
      <c r="C640" s="29">
        <f t="shared" ca="1" si="58"/>
        <v>6.7892193744722412E-2</v>
      </c>
      <c r="D640" s="29">
        <f t="shared" ca="1" si="59"/>
        <v>3.4415898572823886E-2</v>
      </c>
      <c r="E640" s="29">
        <f t="shared" ca="1" si="60"/>
        <v>5.1826810873059556E-2</v>
      </c>
      <c r="F640" s="30">
        <f ca="1">'Single Simulation'!$AP$4*Results!C640</f>
        <v>128730.12099699701</v>
      </c>
      <c r="G640" s="30">
        <f ca="1">'Single Simulation'!$AP$5*Results!D640</f>
        <v>32552.235931945281</v>
      </c>
      <c r="H640" s="30">
        <f t="shared" ca="1" si="62"/>
        <v>96177.885065051727</v>
      </c>
      <c r="I640" s="30">
        <f t="shared" ca="1" si="63"/>
        <v>4984.5930594372949</v>
      </c>
      <c r="J640" s="25">
        <f ca="1">'Single Simulation'!$AP$7*Results!E640</f>
        <v>724125.96779574698</v>
      </c>
      <c r="K640" s="28" t="str">
        <f t="shared" ca="1" si="61"/>
        <v>No</v>
      </c>
    </row>
    <row r="641" spans="2:11" ht="11.25" hidden="1">
      <c r="B641" s="27">
        <v>639</v>
      </c>
      <c r="C641" s="24">
        <f t="shared" ca="1" si="58"/>
        <v>5.7921113796099911E-2</v>
      </c>
      <c r="D641" s="24">
        <f t="shared" ca="1" si="59"/>
        <v>5.467975858719374E-2</v>
      </c>
      <c r="E641" s="24">
        <f t="shared" ca="1" si="60"/>
        <v>0.14152567680608402</v>
      </c>
      <c r="F641" s="25">
        <f ca="1">'Single Simulation'!$AP$4*Results!C641</f>
        <v>109823.9956023277</v>
      </c>
      <c r="G641" s="25">
        <f ca="1">'Single Simulation'!$AP$5*Results!D641</f>
        <v>51718.783354320352</v>
      </c>
      <c r="H641" s="25">
        <f t="shared" ca="1" si="62"/>
        <v>58105.212248007352</v>
      </c>
      <c r="I641" s="25">
        <f t="shared" ca="1" si="63"/>
        <v>8223.3794893604027</v>
      </c>
      <c r="J641" s="25">
        <f ca="1">'Single Simulation'!$AP$7*Results!E641</f>
        <v>1977401.5795833149</v>
      </c>
      <c r="K641" s="28" t="str">
        <f t="shared" ca="1" si="61"/>
        <v>No</v>
      </c>
    </row>
    <row r="642" spans="2:11" ht="11.25" hidden="1">
      <c r="B642" s="27">
        <v>640</v>
      </c>
      <c r="C642" s="29">
        <f t="shared" ca="1" si="58"/>
        <v>5.1575229572316354E-2</v>
      </c>
      <c r="D642" s="29">
        <f t="shared" ca="1" si="59"/>
        <v>5.4331624342997306E-2</v>
      </c>
      <c r="E642" s="29">
        <f t="shared" ca="1" si="60"/>
        <v>0.12658941516291689</v>
      </c>
      <c r="F642" s="30">
        <f ca="1">'Single Simulation'!$AP$4*Results!C642</f>
        <v>97791.589534669969</v>
      </c>
      <c r="G642" s="30">
        <f ca="1">'Single Simulation'!$AP$5*Results!D642</f>
        <v>51389.501001599208</v>
      </c>
      <c r="H642" s="30">
        <f t="shared" ca="1" si="62"/>
        <v>46402.088533070761</v>
      </c>
      <c r="I642" s="30">
        <f t="shared" ca="1" si="63"/>
        <v>5874.0132497393197</v>
      </c>
      <c r="J642" s="25">
        <f ca="1">'Single Simulation'!$AP$7*Results!E642</f>
        <v>1768711.6228715256</v>
      </c>
      <c r="K642" s="28" t="str">
        <f t="shared" ca="1" si="61"/>
        <v>No</v>
      </c>
    </row>
    <row r="643" spans="2:11" ht="11.25" hidden="1">
      <c r="B643" s="27">
        <v>641</v>
      </c>
      <c r="C643" s="24">
        <f t="shared" ca="1" si="58"/>
        <v>5.163133165324231E-2</v>
      </c>
      <c r="D643" s="24">
        <f t="shared" ca="1" si="59"/>
        <v>5.9134053362915037E-2</v>
      </c>
      <c r="E643" s="24">
        <f t="shared" ca="1" si="60"/>
        <v>6.0450081458677439E-2</v>
      </c>
      <c r="F643" s="25">
        <f ca="1">'Single Simulation'!$AP$4*Results!C643</f>
        <v>97897.964469216007</v>
      </c>
      <c r="G643" s="25">
        <f ca="1">'Single Simulation'!$AP$5*Results!D643</f>
        <v>55931.872666601346</v>
      </c>
      <c r="H643" s="25">
        <f t="shared" ca="1" si="62"/>
        <v>41966.091802614661</v>
      </c>
      <c r="I643" s="25">
        <f t="shared" ca="1" si="63"/>
        <v>2536.8536679703916</v>
      </c>
      <c r="J643" s="25">
        <f ca="1">'Single Simulation'!$AP$7*Results!E643</f>
        <v>844610.59830233012</v>
      </c>
      <c r="K643" s="28" t="str">
        <f t="shared" ca="1" si="61"/>
        <v>No</v>
      </c>
    </row>
    <row r="644" spans="2:11" ht="11.25" hidden="1">
      <c r="B644" s="27">
        <v>642</v>
      </c>
      <c r="C644" s="29">
        <f t="shared" ref="C644:C707" ca="1" si="64">MAX(0.02,MIN(0.12,_xlfn.NORM.INV(RAND(),0.06,0.02)))</f>
        <v>7.1706036662533001E-2</v>
      </c>
      <c r="D644" s="29">
        <f t="shared" ref="D644:D707" ca="1" si="65">MAX(0.02,MIN(0.08,_xlfn.NORM.INV(RAND(),0.05,0.015)))</f>
        <v>3.6307027345828052E-2</v>
      </c>
      <c r="E644" s="29">
        <f t="shared" ref="E644:E707" ca="1" si="66">MAX(-0.1,MIN(0.25,_xlfn.NORM.INV(RAND(),0.07,0.04)))</f>
        <v>5.898443282187997E-2</v>
      </c>
      <c r="F644" s="30">
        <f ca="1">'Single Simulation'!$AP$4*Results!C644</f>
        <v>135961.53352314566</v>
      </c>
      <c r="G644" s="30">
        <f ca="1">'Single Simulation'!$AP$5*Results!D644</f>
        <v>34340.957788684253</v>
      </c>
      <c r="H644" s="30">
        <f t="shared" ca="1" si="62"/>
        <v>101620.5757344614</v>
      </c>
      <c r="I644" s="30">
        <f t="shared" ca="1" si="63"/>
        <v>5994.0320227301036</v>
      </c>
      <c r="J644" s="25">
        <f ca="1">'Single Simulation'!$AP$7*Results!E644</f>
        <v>824132.50559913483</v>
      </c>
      <c r="K644" s="28" t="str">
        <f t="shared" ref="K644:K707" ca="1" si="67">IF(J644&gt;$N$4,"Yes","No")</f>
        <v>No</v>
      </c>
    </row>
    <row r="645" spans="2:11" ht="11.25" hidden="1">
      <c r="B645" s="27">
        <v>643</v>
      </c>
      <c r="C645" s="24">
        <f t="shared" ca="1" si="64"/>
        <v>4.3142517280661902E-2</v>
      </c>
      <c r="D645" s="24">
        <f t="shared" ca="1" si="65"/>
        <v>3.7101852208970783E-2</v>
      </c>
      <c r="E645" s="24">
        <f t="shared" ca="1" si="66"/>
        <v>0.13532069003011596</v>
      </c>
      <c r="F645" s="25">
        <f ca="1">'Single Simulation'!$AP$4*Results!C645</f>
        <v>81802.356991688168</v>
      </c>
      <c r="G645" s="25">
        <f ca="1">'Single Simulation'!$AP$5*Results!D645</f>
        <v>35092.741921672983</v>
      </c>
      <c r="H645" s="25">
        <f t="shared" ca="1" si="62"/>
        <v>46709.615070015185</v>
      </c>
      <c r="I645" s="25">
        <f t="shared" ca="1" si="63"/>
        <v>6320.7773423155577</v>
      </c>
      <c r="J645" s="25">
        <f ca="1">'Single Simulation'!$AP$7*Results!E645</f>
        <v>1890705.292881188</v>
      </c>
      <c r="K645" s="28" t="str">
        <f t="shared" ca="1" si="67"/>
        <v>No</v>
      </c>
    </row>
    <row r="646" spans="2:11" ht="11.25" hidden="1">
      <c r="B646" s="27">
        <v>644</v>
      </c>
      <c r="C646" s="29">
        <f t="shared" ca="1" si="64"/>
        <v>6.5975156713673502E-2</v>
      </c>
      <c r="D646" s="29">
        <f t="shared" ca="1" si="65"/>
        <v>5.9578964636027576E-2</v>
      </c>
      <c r="E646" s="29">
        <f t="shared" ca="1" si="66"/>
        <v>8.0646957836379818E-2</v>
      </c>
      <c r="F646" s="30">
        <f ca="1">'Single Simulation'!$AP$4*Results!C646</f>
        <v>125095.23463744653</v>
      </c>
      <c r="G646" s="30">
        <f ca="1">'Single Simulation'!$AP$5*Results!D646</f>
        <v>56352.691454769716</v>
      </c>
      <c r="H646" s="30">
        <f t="shared" ca="1" si="62"/>
        <v>68742.543182676804</v>
      </c>
      <c r="I646" s="30">
        <f t="shared" ca="1" si="63"/>
        <v>5543.8769816188551</v>
      </c>
      <c r="J646" s="25">
        <f ca="1">'Single Simulation'!$AP$7*Results!E646</f>
        <v>1126802.0433687901</v>
      </c>
      <c r="K646" s="28" t="str">
        <f t="shared" ca="1" si="67"/>
        <v>No</v>
      </c>
    </row>
    <row r="647" spans="2:11" ht="11.25" hidden="1">
      <c r="B647" s="27">
        <v>645</v>
      </c>
      <c r="C647" s="24">
        <f t="shared" ca="1" si="64"/>
        <v>4.6465542343484337E-2</v>
      </c>
      <c r="D647" s="24">
        <f t="shared" ca="1" si="65"/>
        <v>3.9489304841263381E-2</v>
      </c>
      <c r="E647" s="24">
        <f t="shared" ca="1" si="66"/>
        <v>4.3790658334779811E-2</v>
      </c>
      <c r="F647" s="25">
        <f ca="1">'Single Simulation'!$AP$4*Results!C647</f>
        <v>88103.131717301425</v>
      </c>
      <c r="G647" s="25">
        <f ca="1">'Single Simulation'!$AP$5*Results!D647</f>
        <v>37350.911098871242</v>
      </c>
      <c r="H647" s="25">
        <f t="shared" ca="1" si="62"/>
        <v>50752.220618430183</v>
      </c>
      <c r="I647" s="25">
        <f t="shared" ca="1" si="63"/>
        <v>2222.4731528330435</v>
      </c>
      <c r="J647" s="25">
        <f ca="1">'Single Simulation'!$AP$7*Results!E647</f>
        <v>611844.57065577782</v>
      </c>
      <c r="K647" s="28" t="str">
        <f t="shared" ca="1" si="67"/>
        <v>No</v>
      </c>
    </row>
    <row r="648" spans="2:11" ht="11.25" hidden="1">
      <c r="B648" s="27">
        <v>646</v>
      </c>
      <c r="C648" s="29">
        <f t="shared" ca="1" si="64"/>
        <v>4.3438245811404333E-2</v>
      </c>
      <c r="D648" s="29">
        <f t="shared" ca="1" si="65"/>
        <v>4.8794370188239747E-2</v>
      </c>
      <c r="E648" s="29">
        <f t="shared" ca="1" si="66"/>
        <v>3.7687576971245536E-2</v>
      </c>
      <c r="F648" s="30">
        <f ca="1">'Single Simulation'!$AP$4*Results!C648</f>
        <v>82363.086693366073</v>
      </c>
      <c r="G648" s="30">
        <f ca="1">'Single Simulation'!$AP$5*Results!D648</f>
        <v>46152.095873867205</v>
      </c>
      <c r="H648" s="30">
        <f t="shared" ca="1" si="62"/>
        <v>36210.990819498867</v>
      </c>
      <c r="I648" s="30">
        <f t="shared" ca="1" si="63"/>
        <v>1364.7045037149289</v>
      </c>
      <c r="J648" s="25">
        <f ca="1">'Single Simulation'!$AP$7*Results!E648</f>
        <v>526572.10984915076</v>
      </c>
      <c r="K648" s="28" t="str">
        <f t="shared" ca="1" si="67"/>
        <v>No</v>
      </c>
    </row>
    <row r="649" spans="2:11" ht="11.25" hidden="1">
      <c r="B649" s="27">
        <v>647</v>
      </c>
      <c r="C649" s="24">
        <f t="shared" ca="1" si="64"/>
        <v>6.9070585339598256E-2</v>
      </c>
      <c r="D649" s="24">
        <f t="shared" ca="1" si="65"/>
        <v>6.1639323605007929E-2</v>
      </c>
      <c r="E649" s="24">
        <f t="shared" ca="1" si="66"/>
        <v>0.10634089395416638</v>
      </c>
      <c r="F649" s="25">
        <f ca="1">'Single Simulation'!$AP$4*Results!C649</f>
        <v>130964.46465601309</v>
      </c>
      <c r="G649" s="25">
        <f ca="1">'Single Simulation'!$AP$5*Results!D649</f>
        <v>58301.479487162062</v>
      </c>
      <c r="H649" s="25">
        <f t="shared" ca="1" si="62"/>
        <v>72662.985168851039</v>
      </c>
      <c r="I649" s="25">
        <f t="shared" ca="1" si="63"/>
        <v>7727.0468002339521</v>
      </c>
      <c r="J649" s="25">
        <f ca="1">'Single Simulation'!$AP$7*Results!E649</f>
        <v>1485798.5944655857</v>
      </c>
      <c r="K649" s="28" t="str">
        <f t="shared" ca="1" si="67"/>
        <v>No</v>
      </c>
    </row>
    <row r="650" spans="2:11" ht="11.25" hidden="1">
      <c r="B650" s="27">
        <v>648</v>
      </c>
      <c r="C650" s="29">
        <f t="shared" ca="1" si="64"/>
        <v>4.1701921534454831E-2</v>
      </c>
      <c r="D650" s="29">
        <f t="shared" ca="1" si="65"/>
        <v>2.4285175213100873E-2</v>
      </c>
      <c r="E650" s="29">
        <f t="shared" ca="1" si="66"/>
        <v>8.7581322599925959E-2</v>
      </c>
      <c r="F650" s="30">
        <f ca="1">'Single Simulation'!$AP$4*Results!C650</f>
        <v>79070.84907467656</v>
      </c>
      <c r="G650" s="30">
        <f ca="1">'Single Simulation'!$AP$5*Results!D650</f>
        <v>22970.1035267964</v>
      </c>
      <c r="H650" s="30">
        <f t="shared" ca="1" si="62"/>
        <v>56100.745547880157</v>
      </c>
      <c r="I650" s="30">
        <f t="shared" ca="1" si="63"/>
        <v>4913.3774939252517</v>
      </c>
      <c r="J650" s="25">
        <f ca="1">'Single Simulation'!$AP$7*Results!E650</f>
        <v>1223689.2241708364</v>
      </c>
      <c r="K650" s="28" t="str">
        <f t="shared" ca="1" si="67"/>
        <v>No</v>
      </c>
    </row>
    <row r="651" spans="2:11" ht="11.25" hidden="1">
      <c r="B651" s="27">
        <v>649</v>
      </c>
      <c r="C651" s="24">
        <f t="shared" ca="1" si="64"/>
        <v>4.35754984674665E-2</v>
      </c>
      <c r="D651" s="24">
        <f t="shared" ca="1" si="65"/>
        <v>0.08</v>
      </c>
      <c r="E651" s="24">
        <f t="shared" ca="1" si="66"/>
        <v>0.1080190132471484</v>
      </c>
      <c r="F651" s="25">
        <f ca="1">'Single Simulation'!$AP$4*Results!C651</f>
        <v>82623.33091361438</v>
      </c>
      <c r="G651" s="25">
        <f ca="1">'Single Simulation'!$AP$5*Results!D651</f>
        <v>75667.90299097354</v>
      </c>
      <c r="H651" s="25">
        <f t="shared" ca="1" si="62"/>
        <v>6955.4279226408398</v>
      </c>
      <c r="I651" s="25">
        <f t="shared" ca="1" si="63"/>
        <v>751.31846091532668</v>
      </c>
      <c r="J651" s="25">
        <f ca="1">'Single Simulation'!$AP$7*Results!E651</f>
        <v>1509245.3344180721</v>
      </c>
      <c r="K651" s="28" t="str">
        <f t="shared" ca="1" si="67"/>
        <v>No</v>
      </c>
    </row>
    <row r="652" spans="2:11" ht="11.25" hidden="1">
      <c r="B652" s="27">
        <v>650</v>
      </c>
      <c r="C652" s="29">
        <f t="shared" ca="1" si="64"/>
        <v>9.2110437682432406E-2</v>
      </c>
      <c r="D652" s="29">
        <f t="shared" ca="1" si="65"/>
        <v>4.3581243722083621E-2</v>
      </c>
      <c r="E652" s="29">
        <f t="shared" ca="1" si="66"/>
        <v>4.5092612510087463E-2</v>
      </c>
      <c r="F652" s="30">
        <f ca="1">'Single Simulation'!$AP$4*Results!C652</f>
        <v>174650.23788346225</v>
      </c>
      <c r="G652" s="30">
        <f ca="1">'Single Simulation'!$AP$5*Results!D652</f>
        <v>41221.266527357475</v>
      </c>
      <c r="H652" s="30">
        <f t="shared" ca="1" si="62"/>
        <v>133428.97135610477</v>
      </c>
      <c r="I652" s="30">
        <f t="shared" ca="1" si="63"/>
        <v>6016.6609029803913</v>
      </c>
      <c r="J652" s="25">
        <f ca="1">'Single Simulation'!$AP$7*Results!E652</f>
        <v>630035.51876426814</v>
      </c>
      <c r="K652" s="28" t="str">
        <f t="shared" ca="1" si="67"/>
        <v>No</v>
      </c>
    </row>
    <row r="653" spans="2:11" ht="11.25" hidden="1">
      <c r="B653" s="27">
        <v>651</v>
      </c>
      <c r="C653" s="24">
        <f t="shared" ca="1" si="64"/>
        <v>8.7031140977182522E-2</v>
      </c>
      <c r="D653" s="24">
        <f t="shared" ca="1" si="65"/>
        <v>2.4043826801989163E-2</v>
      </c>
      <c r="E653" s="24">
        <f t="shared" ca="1" si="66"/>
        <v>3.6628899515244812E-2</v>
      </c>
      <c r="F653" s="25">
        <f ca="1">'Single Simulation'!$AP$4*Results!C653</f>
        <v>165019.40341808906</v>
      </c>
      <c r="G653" s="25">
        <f ca="1">'Single Simulation'!$AP$5*Results!D653</f>
        <v>22741.824424808568</v>
      </c>
      <c r="H653" s="25">
        <f t="shared" ca="1" si="62"/>
        <v>142277.57899328048</v>
      </c>
      <c r="I653" s="25">
        <f t="shared" ca="1" si="63"/>
        <v>5211.4711442171765</v>
      </c>
      <c r="J653" s="25">
        <f ca="1">'Single Simulation'!$AP$7*Results!E653</f>
        <v>511780.23235377972</v>
      </c>
      <c r="K653" s="28" t="str">
        <f t="shared" ca="1" si="67"/>
        <v>No</v>
      </c>
    </row>
    <row r="654" spans="2:11" ht="11.25" hidden="1">
      <c r="B654" s="27">
        <v>652</v>
      </c>
      <c r="C654" s="29">
        <f t="shared" ca="1" si="64"/>
        <v>7.4952293202541737E-2</v>
      </c>
      <c r="D654" s="29">
        <f t="shared" ca="1" si="65"/>
        <v>3.107551564486298E-2</v>
      </c>
      <c r="E654" s="29">
        <f t="shared" ca="1" si="66"/>
        <v>0.11676699596098621</v>
      </c>
      <c r="F654" s="30">
        <f ca="1">'Single Simulation'!$AP$4*Results!C654</f>
        <v>142116.74775519574</v>
      </c>
      <c r="G654" s="30">
        <f ca="1">'Single Simulation'!$AP$5*Results!D654</f>
        <v>29392.738790124655</v>
      </c>
      <c r="H654" s="30">
        <f t="shared" ca="1" si="62"/>
        <v>112724.00896507109</v>
      </c>
      <c r="I654" s="30">
        <f t="shared" ca="1" si="63"/>
        <v>13162.443899530628</v>
      </c>
      <c r="J654" s="25">
        <f ca="1">'Single Simulation'!$AP$7*Results!E654</f>
        <v>1631472.4470303806</v>
      </c>
      <c r="K654" s="28" t="str">
        <f t="shared" ca="1" si="67"/>
        <v>No</v>
      </c>
    </row>
    <row r="655" spans="2:11" ht="11.25" hidden="1">
      <c r="B655" s="27">
        <v>653</v>
      </c>
      <c r="C655" s="24">
        <f t="shared" ca="1" si="64"/>
        <v>5.3004974793007996E-2</v>
      </c>
      <c r="D655" s="24">
        <f t="shared" ca="1" si="65"/>
        <v>6.079174084120597E-2</v>
      </c>
      <c r="E655" s="24">
        <f t="shared" ca="1" si="66"/>
        <v>0.12312933418913574</v>
      </c>
      <c r="F655" s="25">
        <f ca="1">'Single Simulation'!$AP$4*Results!C655</f>
        <v>100502.52381301358</v>
      </c>
      <c r="G655" s="25">
        <f ca="1">'Single Simulation'!$AP$5*Results!D655</f>
        <v>57499.794357809718</v>
      </c>
      <c r="H655" s="25">
        <f t="shared" ca="1" si="62"/>
        <v>43002.729455203866</v>
      </c>
      <c r="I655" s="25">
        <f t="shared" ca="1" si="63"/>
        <v>5294.897446134788</v>
      </c>
      <c r="J655" s="25">
        <f ca="1">'Single Simulation'!$AP$7*Results!E655</f>
        <v>1720367.2535849845</v>
      </c>
      <c r="K655" s="28" t="str">
        <f t="shared" ca="1" si="67"/>
        <v>No</v>
      </c>
    </row>
    <row r="656" spans="2:11" ht="11.25" hidden="1">
      <c r="B656" s="27">
        <v>654</v>
      </c>
      <c r="C656" s="29">
        <f t="shared" ca="1" si="64"/>
        <v>4.8495890600179697E-2</v>
      </c>
      <c r="D656" s="29">
        <f t="shared" ca="1" si="65"/>
        <v>0.02</v>
      </c>
      <c r="E656" s="29">
        <f t="shared" ca="1" si="66"/>
        <v>0.12059644291995622</v>
      </c>
      <c r="F656" s="30">
        <f ca="1">'Single Simulation'!$AP$4*Results!C656</f>
        <v>91952.867045241874</v>
      </c>
      <c r="G656" s="30">
        <f ca="1">'Single Simulation'!$AP$5*Results!D656</f>
        <v>18916.975747743385</v>
      </c>
      <c r="H656" s="30">
        <f t="shared" ca="1" si="62"/>
        <v>73035.891297498485</v>
      </c>
      <c r="I656" s="30">
        <f t="shared" ca="1" si="63"/>
        <v>8807.868695966903</v>
      </c>
      <c r="J656" s="25">
        <f ca="1">'Single Simulation'!$AP$7*Results!E656</f>
        <v>1684977.6104501137</v>
      </c>
      <c r="K656" s="28" t="str">
        <f t="shared" ca="1" si="67"/>
        <v>No</v>
      </c>
    </row>
    <row r="657" spans="2:11" ht="11.25" hidden="1">
      <c r="B657" s="27">
        <v>655</v>
      </c>
      <c r="C657" s="24">
        <f t="shared" ca="1" si="64"/>
        <v>7.9476513203870239E-2</v>
      </c>
      <c r="D657" s="24">
        <f t="shared" ca="1" si="65"/>
        <v>4.951337679945602E-2</v>
      </c>
      <c r="E657" s="24">
        <f t="shared" ca="1" si="66"/>
        <v>2.5038267257669333E-3</v>
      </c>
      <c r="F657" s="25">
        <f ca="1">'Single Simulation'!$AP$4*Results!C657</f>
        <v>150695.10346981464</v>
      </c>
      <c r="G657" s="25">
        <f ca="1">'Single Simulation'!$AP$5*Results!D657</f>
        <v>46832.167405209475</v>
      </c>
      <c r="H657" s="25">
        <f t="shared" ca="1" si="62"/>
        <v>103862.93606460516</v>
      </c>
      <c r="I657" s="25">
        <f t="shared" ca="1" si="63"/>
        <v>260.05479513518071</v>
      </c>
      <c r="J657" s="25">
        <f ca="1">'Single Simulation'!$AP$7*Results!E657</f>
        <v>34983.552343779447</v>
      </c>
      <c r="K657" s="28" t="str">
        <f t="shared" ca="1" si="67"/>
        <v>No</v>
      </c>
    </row>
    <row r="658" spans="2:11" ht="11.25" hidden="1">
      <c r="B658" s="27">
        <v>656</v>
      </c>
      <c r="C658" s="29">
        <f t="shared" ca="1" si="64"/>
        <v>7.0735325018950204E-2</v>
      </c>
      <c r="D658" s="29">
        <f t="shared" ca="1" si="65"/>
        <v>2.4301519142617869E-2</v>
      </c>
      <c r="E658" s="29">
        <f t="shared" ca="1" si="66"/>
        <v>6.9020313985123233E-2</v>
      </c>
      <c r="F658" s="30">
        <f ca="1">'Single Simulation'!$AP$4*Results!C658</f>
        <v>134120.97100131199</v>
      </c>
      <c r="G658" s="30">
        <f ca="1">'Single Simulation'!$AP$5*Results!D658</f>
        <v>22985.562412711191</v>
      </c>
      <c r="H658" s="30">
        <f t="shared" ca="1" si="62"/>
        <v>111135.4085886008</v>
      </c>
      <c r="I658" s="30">
        <f t="shared" ca="1" si="63"/>
        <v>7670.600795650188</v>
      </c>
      <c r="J658" s="25">
        <f ca="1">'Single Simulation'!$AP$7*Results!E658</f>
        <v>964354.17923860368</v>
      </c>
      <c r="K658" s="28" t="str">
        <f t="shared" ca="1" si="67"/>
        <v>No</v>
      </c>
    </row>
    <row r="659" spans="2:11" ht="11.25" hidden="1">
      <c r="B659" s="27">
        <v>657</v>
      </c>
      <c r="C659" s="24">
        <f t="shared" ca="1" si="64"/>
        <v>3.4495974070798213E-2</v>
      </c>
      <c r="D659" s="24">
        <f t="shared" ca="1" si="65"/>
        <v>7.063271687604461E-2</v>
      </c>
      <c r="E659" s="24">
        <f t="shared" ca="1" si="66"/>
        <v>7.8941234724849069E-2</v>
      </c>
      <c r="F659" s="25">
        <f ca="1">'Single Simulation'!$AP$4*Results!C659</f>
        <v>65407.680487395068</v>
      </c>
      <c r="G659" s="25">
        <f ca="1">'Single Simulation'!$AP$5*Results!D659</f>
        <v>66807.869607068031</v>
      </c>
      <c r="H659" s="25">
        <f t="shared" ca="1" si="62"/>
        <v>-1400.189119672963</v>
      </c>
      <c r="I659" s="25">
        <f t="shared" ca="1" si="63"/>
        <v>-110.53265795528316</v>
      </c>
      <c r="J659" s="25">
        <f ca="1">'Single Simulation'!$AP$7*Results!E659</f>
        <v>1102969.6219227922</v>
      </c>
      <c r="K659" s="28" t="str">
        <f t="shared" ca="1" si="67"/>
        <v>No</v>
      </c>
    </row>
    <row r="660" spans="2:11" ht="11.25" hidden="1">
      <c r="B660" s="27">
        <v>658</v>
      </c>
      <c r="C660" s="29">
        <f t="shared" ca="1" si="64"/>
        <v>0.10010615720561916</v>
      </c>
      <c r="D660" s="29">
        <f t="shared" ca="1" si="65"/>
        <v>7.7543582488828977E-2</v>
      </c>
      <c r="E660" s="29">
        <f t="shared" ca="1" si="66"/>
        <v>8.9321041626711326E-2</v>
      </c>
      <c r="F660" s="30">
        <f ca="1">'Single Simulation'!$AP$4*Results!C660</f>
        <v>189810.89016033604</v>
      </c>
      <c r="G660" s="30">
        <f ca="1">'Single Simulation'!$AP$5*Results!D660</f>
        <v>73344.503466715818</v>
      </c>
      <c r="H660" s="30">
        <f t="shared" ca="1" si="62"/>
        <v>116466.38669362022</v>
      </c>
      <c r="I660" s="30">
        <f t="shared" ca="1" si="63"/>
        <v>10402.89897397351</v>
      </c>
      <c r="J660" s="25">
        <f ca="1">'Single Simulation'!$AP$7*Results!E660</f>
        <v>1247996.6377033652</v>
      </c>
      <c r="K660" s="28" t="str">
        <f t="shared" ca="1" si="67"/>
        <v>No</v>
      </c>
    </row>
    <row r="661" spans="2:11" ht="11.25" hidden="1">
      <c r="B661" s="27">
        <v>659</v>
      </c>
      <c r="C661" s="24">
        <f t="shared" ca="1" si="64"/>
        <v>3.4640596515989802E-2</v>
      </c>
      <c r="D661" s="24">
        <f t="shared" ca="1" si="65"/>
        <v>4.9891514776638363E-2</v>
      </c>
      <c r="E661" s="24">
        <f t="shared" ca="1" si="66"/>
        <v>3.1857144520247974E-2</v>
      </c>
      <c r="F661" s="25">
        <f ca="1">'Single Simulation'!$AP$4*Results!C661</f>
        <v>65681.89853576741</v>
      </c>
      <c r="G661" s="25">
        <f ca="1">'Single Simulation'!$AP$5*Results!D661</f>
        <v>47189.82875239243</v>
      </c>
      <c r="H661" s="25">
        <f t="shared" ca="1" si="62"/>
        <v>18492.06978337498</v>
      </c>
      <c r="I661" s="25">
        <f t="shared" ca="1" si="63"/>
        <v>589.10453956748734</v>
      </c>
      <c r="J661" s="25">
        <f ca="1">'Single Simulation'!$AP$7*Results!E661</f>
        <v>445109.10894046497</v>
      </c>
      <c r="K661" s="28" t="str">
        <f t="shared" ca="1" si="67"/>
        <v>No</v>
      </c>
    </row>
    <row r="662" spans="2:11" ht="11.25" hidden="1">
      <c r="B662" s="27">
        <v>660</v>
      </c>
      <c r="C662" s="29">
        <f t="shared" ca="1" si="64"/>
        <v>4.7727336393677176E-2</v>
      </c>
      <c r="D662" s="29">
        <f t="shared" ca="1" si="65"/>
        <v>5.4224499675471098E-2</v>
      </c>
      <c r="E662" s="29">
        <f t="shared" ca="1" si="66"/>
        <v>5.173283125025184E-2</v>
      </c>
      <c r="F662" s="30">
        <f ca="1">'Single Simulation'!$AP$4*Results!C662</f>
        <v>90495.614443155922</v>
      </c>
      <c r="G662" s="30">
        <f ca="1">'Single Simulation'!$AP$5*Results!D662</f>
        <v>51288.177264720289</v>
      </c>
      <c r="H662" s="30">
        <f t="shared" ca="1" si="62"/>
        <v>39207.437178435634</v>
      </c>
      <c r="I662" s="30">
        <f t="shared" ca="1" si="63"/>
        <v>2028.3117313068608</v>
      </c>
      <c r="J662" s="25">
        <f ca="1">'Single Simulation'!$AP$7*Results!E662</f>
        <v>722812.88130301633</v>
      </c>
      <c r="K662" s="28" t="str">
        <f t="shared" ca="1" si="67"/>
        <v>No</v>
      </c>
    </row>
    <row r="663" spans="2:11" ht="11.25" hidden="1">
      <c r="B663" s="27">
        <v>661</v>
      </c>
      <c r="C663" s="24">
        <f t="shared" ca="1" si="64"/>
        <v>6.4659525675898083E-2</v>
      </c>
      <c r="D663" s="24">
        <f t="shared" ca="1" si="65"/>
        <v>5.1605032276813304E-2</v>
      </c>
      <c r="E663" s="24">
        <f t="shared" ca="1" si="66"/>
        <v>7.7945192091214338E-2</v>
      </c>
      <c r="F663" s="25">
        <f ca="1">'Single Simulation'!$AP$4*Results!C663</f>
        <v>122600.67181160767</v>
      </c>
      <c r="G663" s="25">
        <f ca="1">'Single Simulation'!$AP$5*Results!D663</f>
        <v>48810.55720209959</v>
      </c>
      <c r="H663" s="25">
        <f t="shared" ca="1" si="62"/>
        <v>73790.114609508077</v>
      </c>
      <c r="I663" s="25">
        <f t="shared" ca="1" si="63"/>
        <v>5751.5846576708282</v>
      </c>
      <c r="J663" s="25">
        <f ca="1">'Single Simulation'!$AP$7*Results!E663</f>
        <v>1089052.8803001372</v>
      </c>
      <c r="K663" s="28" t="str">
        <f t="shared" ca="1" si="67"/>
        <v>No</v>
      </c>
    </row>
    <row r="664" spans="2:11" ht="11.25" hidden="1">
      <c r="B664" s="27">
        <v>662</v>
      </c>
      <c r="C664" s="29">
        <f t="shared" ca="1" si="64"/>
        <v>2.1621451281199244E-2</v>
      </c>
      <c r="D664" s="29">
        <f t="shared" ca="1" si="65"/>
        <v>4.1257740071882133E-2</v>
      </c>
      <c r="E664" s="29">
        <f t="shared" ca="1" si="66"/>
        <v>5.8111904161563616E-2</v>
      </c>
      <c r="F664" s="30">
        <f ca="1">'Single Simulation'!$AP$4*Results!C664</f>
        <v>40996.348564385822</v>
      </c>
      <c r="G664" s="30">
        <f ca="1">'Single Simulation'!$AP$5*Results!D664</f>
        <v>39023.583417324735</v>
      </c>
      <c r="H664" s="30">
        <f t="shared" ca="1" si="62"/>
        <v>1972.7651470610872</v>
      </c>
      <c r="I664" s="30">
        <f t="shared" ca="1" si="63"/>
        <v>114.64113915928685</v>
      </c>
      <c r="J664" s="25">
        <f ca="1">'Single Simulation'!$AP$7*Results!E664</f>
        <v>811941.50542108726</v>
      </c>
      <c r="K664" s="28" t="str">
        <f t="shared" ca="1" si="67"/>
        <v>No</v>
      </c>
    </row>
    <row r="665" spans="2:11" ht="11.25" hidden="1">
      <c r="B665" s="27">
        <v>663</v>
      </c>
      <c r="C665" s="24">
        <f t="shared" ca="1" si="64"/>
        <v>3.9294920593801186E-2</v>
      </c>
      <c r="D665" s="24">
        <f t="shared" ca="1" si="65"/>
        <v>4.5163040661338798E-2</v>
      </c>
      <c r="E665" s="24">
        <f t="shared" ca="1" si="66"/>
        <v>1.2319536964353291E-2</v>
      </c>
      <c r="F665" s="25">
        <f ca="1">'Single Simulation'!$AP$4*Results!C665</f>
        <v>74506.944077066786</v>
      </c>
      <c r="G665" s="25">
        <f ca="1">'Single Simulation'!$AP$5*Results!D665</f>
        <v>42717.407244244721</v>
      </c>
      <c r="H665" s="25">
        <f t="shared" ca="1" si="62"/>
        <v>31789.536832822065</v>
      </c>
      <c r="I665" s="25">
        <f t="shared" ca="1" si="63"/>
        <v>391.63237409162184</v>
      </c>
      <c r="J665" s="25">
        <f ca="1">'Single Simulation'!$AP$7*Results!E665</f>
        <v>172128.99032043348</v>
      </c>
      <c r="K665" s="28" t="str">
        <f t="shared" ca="1" si="67"/>
        <v>No</v>
      </c>
    </row>
    <row r="666" spans="2:11" ht="11.25" hidden="1">
      <c r="B666" s="27">
        <v>664</v>
      </c>
      <c r="C666" s="29">
        <f t="shared" ca="1" si="64"/>
        <v>9.9388667312198198E-2</v>
      </c>
      <c r="D666" s="29">
        <f t="shared" ca="1" si="65"/>
        <v>7.1876054332181527E-2</v>
      </c>
      <c r="E666" s="29">
        <f t="shared" ca="1" si="66"/>
        <v>6.9204915040801104E-2</v>
      </c>
      <c r="F666" s="30">
        <f ca="1">'Single Simulation'!$AP$4*Results!C666</f>
        <v>188450.46040104012</v>
      </c>
      <c r="G666" s="30">
        <f ca="1">'Single Simulation'!$AP$5*Results!D666</f>
        <v>67983.878832268194</v>
      </c>
      <c r="H666" s="30">
        <f t="shared" ca="1" si="62"/>
        <v>120466.58156877193</v>
      </c>
      <c r="I666" s="30">
        <f t="shared" ca="1" si="63"/>
        <v>8336.8795427225978</v>
      </c>
      <c r="J666" s="25">
        <f ca="1">'Single Simulation'!$AP$7*Results!E666</f>
        <v>966933.43147980887</v>
      </c>
      <c r="K666" s="28" t="str">
        <f t="shared" ca="1" si="67"/>
        <v>No</v>
      </c>
    </row>
    <row r="667" spans="2:11" ht="11.25" hidden="1">
      <c r="B667" s="27">
        <v>665</v>
      </c>
      <c r="C667" s="24">
        <f t="shared" ca="1" si="64"/>
        <v>9.48025755801363E-2</v>
      </c>
      <c r="D667" s="24">
        <f t="shared" ca="1" si="65"/>
        <v>4.1541330036396901E-2</v>
      </c>
      <c r="E667" s="24">
        <f t="shared" ca="1" si="66"/>
        <v>7.3766570513602553E-2</v>
      </c>
      <c r="F667" s="25">
        <f ca="1">'Single Simulation'!$AP$4*Results!C667</f>
        <v>179754.78994161345</v>
      </c>
      <c r="G667" s="25">
        <f ca="1">'Single Simulation'!$AP$5*Results!D667</f>
        <v>39291.816641376201</v>
      </c>
      <c r="H667" s="25">
        <f t="shared" ca="1" si="62"/>
        <v>140462.97330023724</v>
      </c>
      <c r="I667" s="25">
        <f t="shared" ca="1" si="63"/>
        <v>10361.471824502223</v>
      </c>
      <c r="J667" s="25">
        <f ca="1">'Single Simulation'!$AP$7*Results!E667</f>
        <v>1030669.0372087383</v>
      </c>
      <c r="K667" s="28" t="str">
        <f t="shared" ca="1" si="67"/>
        <v>No</v>
      </c>
    </row>
    <row r="668" spans="2:11" ht="11.25" hidden="1">
      <c r="B668" s="27">
        <v>666</v>
      </c>
      <c r="C668" s="29">
        <f t="shared" ca="1" si="64"/>
        <v>6.4715818838193787E-2</v>
      </c>
      <c r="D668" s="29">
        <f t="shared" ca="1" si="65"/>
        <v>0.08</v>
      </c>
      <c r="E668" s="29">
        <f t="shared" ca="1" si="66"/>
        <v>8.3117843263131361E-2</v>
      </c>
      <c r="F668" s="30">
        <f ca="1">'Single Simulation'!$AP$4*Results!C668</f>
        <v>122707.40905478582</v>
      </c>
      <c r="G668" s="30">
        <f ca="1">'Single Simulation'!$AP$5*Results!D668</f>
        <v>75667.90299097354</v>
      </c>
      <c r="H668" s="30">
        <f t="shared" ca="1" si="62"/>
        <v>47039.506063812281</v>
      </c>
      <c r="I668" s="30">
        <f t="shared" ca="1" si="63"/>
        <v>3909.8222921870665</v>
      </c>
      <c r="J668" s="25">
        <f ca="1">'Single Simulation'!$AP$7*Results!E668</f>
        <v>1161325.3387600745</v>
      </c>
      <c r="K668" s="28" t="str">
        <f t="shared" ca="1" si="67"/>
        <v>No</v>
      </c>
    </row>
    <row r="669" spans="2:11" ht="11.25" hidden="1">
      <c r="B669" s="27">
        <v>667</v>
      </c>
      <c r="C669" s="24">
        <f t="shared" ca="1" si="64"/>
        <v>7.0521790104631887E-2</v>
      </c>
      <c r="D669" s="24">
        <f t="shared" ca="1" si="65"/>
        <v>7.8168006381351712E-2</v>
      </c>
      <c r="E669" s="24">
        <f t="shared" ca="1" si="66"/>
        <v>6.203518044688653E-2</v>
      </c>
      <c r="F669" s="25">
        <f ca="1">'Single Simulation'!$AP$4*Results!C669</f>
        <v>133716.08829181173</v>
      </c>
      <c r="G669" s="25">
        <f ca="1">'Single Simulation'!$AP$5*Results!D669</f>
        <v>73935.114048274016</v>
      </c>
      <c r="H669" s="25">
        <f t="shared" ca="1" si="62"/>
        <v>59780.974243537712</v>
      </c>
      <c r="I669" s="25">
        <f t="shared" ca="1" si="63"/>
        <v>3708.523524488538</v>
      </c>
      <c r="J669" s="25">
        <f ca="1">'Single Simulation'!$AP$7*Results!E669</f>
        <v>866757.65538636188</v>
      </c>
      <c r="K669" s="28" t="str">
        <f t="shared" ca="1" si="67"/>
        <v>No</v>
      </c>
    </row>
    <row r="670" spans="2:11" ht="11.25" hidden="1">
      <c r="B670" s="27">
        <v>668</v>
      </c>
      <c r="C670" s="29">
        <f t="shared" ca="1" si="64"/>
        <v>5.9052473757002802E-2</v>
      </c>
      <c r="D670" s="29">
        <f t="shared" ca="1" si="65"/>
        <v>6.0834305367434963E-2</v>
      </c>
      <c r="E670" s="29">
        <f t="shared" ca="1" si="66"/>
        <v>9.9305391551579539E-2</v>
      </c>
      <c r="F670" s="30">
        <f ca="1">'Single Simulation'!$AP$4*Results!C670</f>
        <v>111969.16276551881</v>
      </c>
      <c r="G670" s="30">
        <f ca="1">'Single Simulation'!$AP$5*Results!D670</f>
        <v>57540.053963329119</v>
      </c>
      <c r="H670" s="30">
        <f t="shared" ca="1" si="62"/>
        <v>54429.108802189687</v>
      </c>
      <c r="I670" s="30">
        <f t="shared" ca="1" si="63"/>
        <v>5405.1039614049714</v>
      </c>
      <c r="J670" s="25">
        <f ca="1">'Single Simulation'!$AP$7*Results!E670</f>
        <v>1387498.3151240537</v>
      </c>
      <c r="K670" s="28" t="str">
        <f t="shared" ca="1" si="67"/>
        <v>No</v>
      </c>
    </row>
    <row r="671" spans="2:11" ht="11.25" hidden="1">
      <c r="B671" s="27">
        <v>669</v>
      </c>
      <c r="C671" s="24">
        <f t="shared" ca="1" si="64"/>
        <v>4.893057566570793E-2</v>
      </c>
      <c r="D671" s="24">
        <f t="shared" ca="1" si="65"/>
        <v>6.5810247683036061E-2</v>
      </c>
      <c r="E671" s="24">
        <f t="shared" ca="1" si="66"/>
        <v>0.11366919583164233</v>
      </c>
      <c r="F671" s="25">
        <f ca="1">'Single Simulation'!$AP$4*Results!C671</f>
        <v>92777.071684901006</v>
      </c>
      <c r="G671" s="25">
        <f ca="1">'Single Simulation'!$AP$5*Results!D671</f>
        <v>62246.542968648922</v>
      </c>
      <c r="H671" s="25">
        <f t="shared" ca="1" si="62"/>
        <v>30530.528716252084</v>
      </c>
      <c r="I671" s="25">
        <f t="shared" ca="1" si="63"/>
        <v>3470.3806474912376</v>
      </c>
      <c r="J671" s="25">
        <f ca="1">'Single Simulation'!$AP$7*Results!E671</f>
        <v>1588189.8780489853</v>
      </c>
      <c r="K671" s="28" t="str">
        <f t="shared" ca="1" si="67"/>
        <v>No</v>
      </c>
    </row>
    <row r="672" spans="2:11" ht="11.25" hidden="1">
      <c r="B672" s="27">
        <v>670</v>
      </c>
      <c r="C672" s="29">
        <f t="shared" ca="1" si="64"/>
        <v>0.02</v>
      </c>
      <c r="D672" s="29">
        <f t="shared" ca="1" si="65"/>
        <v>6.7207499274302029E-2</v>
      </c>
      <c r="E672" s="29">
        <f t="shared" ca="1" si="66"/>
        <v>2.6170646548413647E-2</v>
      </c>
      <c r="F672" s="30">
        <f ca="1">'Single Simulation'!$AP$4*Results!C672</f>
        <v>37921.921180225181</v>
      </c>
      <c r="G672" s="30">
        <f ca="1">'Single Simulation'!$AP$5*Results!D672</f>
        <v>63568.13169192263</v>
      </c>
      <c r="H672" s="30">
        <f t="shared" ca="1" si="62"/>
        <v>-25646.210511697449</v>
      </c>
      <c r="I672" s="30">
        <f t="shared" ca="1" si="63"/>
        <v>-671.17791060784464</v>
      </c>
      <c r="J672" s="25">
        <f ca="1">'Single Simulation'!$AP$7*Results!E672</f>
        <v>365657.16547998949</v>
      </c>
      <c r="K672" s="28" t="str">
        <f t="shared" ca="1" si="67"/>
        <v>No</v>
      </c>
    </row>
    <row r="673" spans="2:11" ht="11.25" hidden="1">
      <c r="B673" s="27">
        <v>671</v>
      </c>
      <c r="C673" s="24">
        <f t="shared" ca="1" si="64"/>
        <v>6.356774154568548E-2</v>
      </c>
      <c r="D673" s="24">
        <f t="shared" ca="1" si="65"/>
        <v>5.7022614131144407E-2</v>
      </c>
      <c r="E673" s="24">
        <f t="shared" ca="1" si="66"/>
        <v>4.5753517043229858E-2</v>
      </c>
      <c r="F673" s="25">
        <f ca="1">'Single Simulation'!$AP$4*Results!C673</f>
        <v>120530.54422502051</v>
      </c>
      <c r="G673" s="25">
        <f ca="1">'Single Simulation'!$AP$5*Results!D673</f>
        <v>53934.770429589393</v>
      </c>
      <c r="H673" s="25">
        <f t="shared" ca="1" si="62"/>
        <v>66595.773795431116</v>
      </c>
      <c r="I673" s="25">
        <f t="shared" ca="1" si="63"/>
        <v>3046.9908713563377</v>
      </c>
      <c r="J673" s="25">
        <f ca="1">'Single Simulation'!$AP$7*Results!E673</f>
        <v>639269.69942521071</v>
      </c>
      <c r="K673" s="28" t="str">
        <f t="shared" ca="1" si="67"/>
        <v>No</v>
      </c>
    </row>
    <row r="674" spans="2:11" ht="11.25" hidden="1">
      <c r="B674" s="27">
        <v>672</v>
      </c>
      <c r="C674" s="29">
        <f t="shared" ca="1" si="64"/>
        <v>7.1803245931577941E-2</v>
      </c>
      <c r="D674" s="29">
        <f t="shared" ca="1" si="65"/>
        <v>5.8395997118427946E-2</v>
      </c>
      <c r="E674" s="29">
        <f t="shared" ca="1" si="66"/>
        <v>4.5886038152660694E-2</v>
      </c>
      <c r="F674" s="30">
        <f ca="1">'Single Simulation'!$AP$4*Results!C674</f>
        <v>136145.85163508114</v>
      </c>
      <c r="G674" s="30">
        <f ca="1">'Single Simulation'!$AP$5*Results!D674</f>
        <v>55233.783062729701</v>
      </c>
      <c r="H674" s="30">
        <f t="shared" ca="1" si="62"/>
        <v>80912.068572351447</v>
      </c>
      <c r="I674" s="30">
        <f t="shared" ca="1" si="63"/>
        <v>3712.7342655216166</v>
      </c>
      <c r="J674" s="25">
        <f ca="1">'Single Simulation'!$AP$7*Results!E674</f>
        <v>641121.28888254799</v>
      </c>
      <c r="K674" s="28" t="str">
        <f t="shared" ca="1" si="67"/>
        <v>No</v>
      </c>
    </row>
    <row r="675" spans="2:11" ht="11.25" hidden="1">
      <c r="B675" s="27">
        <v>673</v>
      </c>
      <c r="C675" s="24">
        <f t="shared" ca="1" si="64"/>
        <v>7.9544677032580627E-2</v>
      </c>
      <c r="D675" s="24">
        <f t="shared" ca="1" si="65"/>
        <v>2.7185714552986302E-2</v>
      </c>
      <c r="E675" s="24">
        <f t="shared" ca="1" si="66"/>
        <v>0.11391802568651357</v>
      </c>
      <c r="F675" s="25">
        <f ca="1">'Single Simulation'!$AP$4*Results!C675</f>
        <v>150824.34863679952</v>
      </c>
      <c r="G675" s="25">
        <f ca="1">'Single Simulation'!$AP$5*Results!D675</f>
        <v>25713.575144195813</v>
      </c>
      <c r="H675" s="25">
        <f t="shared" ca="1" si="62"/>
        <v>125110.77349260371</v>
      </c>
      <c r="I675" s="25">
        <f t="shared" ca="1" si="63"/>
        <v>14252.372308390011</v>
      </c>
      <c r="J675" s="25">
        <f ca="1">'Single Simulation'!$AP$7*Results!E675</f>
        <v>1591666.5372614623</v>
      </c>
      <c r="K675" s="28" t="str">
        <f t="shared" ca="1" si="67"/>
        <v>No</v>
      </c>
    </row>
    <row r="676" spans="2:11" ht="11.25" hidden="1">
      <c r="B676" s="27">
        <v>674</v>
      </c>
      <c r="C676" s="29">
        <f t="shared" ca="1" si="64"/>
        <v>4.7549210167188244E-2</v>
      </c>
      <c r="D676" s="29">
        <f t="shared" ca="1" si="65"/>
        <v>4.7400788946494278E-2</v>
      </c>
      <c r="E676" s="29">
        <f t="shared" ca="1" si="66"/>
        <v>2.5690097797440255E-2</v>
      </c>
      <c r="F676" s="30">
        <f ca="1">'Single Simulation'!$AP$4*Results!C676</f>
        <v>90157.870007103716</v>
      </c>
      <c r="G676" s="30">
        <f ca="1">'Single Simulation'!$AP$5*Results!D676</f>
        <v>44833.978746236746</v>
      </c>
      <c r="H676" s="30">
        <f t="shared" ca="1" si="62"/>
        <v>45323.891260866971</v>
      </c>
      <c r="I676" s="30">
        <f t="shared" ca="1" si="63"/>
        <v>1164.3751990522201</v>
      </c>
      <c r="J676" s="25">
        <f ca="1">'Single Simulation'!$AP$7*Results!E676</f>
        <v>358942.92195410567</v>
      </c>
      <c r="K676" s="28" t="str">
        <f t="shared" ca="1" si="67"/>
        <v>No</v>
      </c>
    </row>
    <row r="677" spans="2:11" ht="11.25" hidden="1">
      <c r="B677" s="27">
        <v>675</v>
      </c>
      <c r="C677" s="24">
        <f t="shared" ca="1" si="64"/>
        <v>5.5521375518758909E-2</v>
      </c>
      <c r="D677" s="24">
        <f t="shared" ca="1" si="65"/>
        <v>5.334266629841361E-2</v>
      </c>
      <c r="E677" s="24">
        <f t="shared" ca="1" si="66"/>
        <v>4.8875664913848385E-2</v>
      </c>
      <c r="F677" s="25">
        <f ca="1">'Single Simulation'!$AP$4*Results!C677</f>
        <v>105273.86131200296</v>
      </c>
      <c r="G677" s="25">
        <f ca="1">'Single Simulation'!$AP$5*Results!D677</f>
        <v>50454.096234352932</v>
      </c>
      <c r="H677" s="25">
        <f t="shared" ca="1" si="62"/>
        <v>54819.76507765003</v>
      </c>
      <c r="I677" s="25">
        <f t="shared" ca="1" si="63"/>
        <v>2679.3524685911107</v>
      </c>
      <c r="J677" s="25">
        <f ca="1">'Single Simulation'!$AP$7*Results!E677</f>
        <v>682892.45587747556</v>
      </c>
      <c r="K677" s="28" t="str">
        <f t="shared" ca="1" si="67"/>
        <v>No</v>
      </c>
    </row>
    <row r="678" spans="2:11" ht="11.25" hidden="1">
      <c r="B678" s="27">
        <v>676</v>
      </c>
      <c r="C678" s="29">
        <f t="shared" ca="1" si="64"/>
        <v>4.596090429652E-2</v>
      </c>
      <c r="D678" s="29">
        <f t="shared" ca="1" si="65"/>
        <v>5.5124262673604235E-2</v>
      </c>
      <c r="E678" s="29">
        <f t="shared" ca="1" si="66"/>
        <v>8.540472871088052E-2</v>
      </c>
      <c r="F678" s="30">
        <f ca="1">'Single Simulation'!$AP$4*Results!C678</f>
        <v>87146.289505225213</v>
      </c>
      <c r="G678" s="30">
        <f ca="1">'Single Simulation'!$AP$5*Results!D678</f>
        <v>52139.217005440361</v>
      </c>
      <c r="H678" s="30">
        <f t="shared" ca="1" si="62"/>
        <v>35007.072499784852</v>
      </c>
      <c r="I678" s="30">
        <f t="shared" ca="1" si="63"/>
        <v>2989.7695298062513</v>
      </c>
      <c r="J678" s="25">
        <f ca="1">'Single Simulation'!$AP$7*Results!E678</f>
        <v>1193277.7801739487</v>
      </c>
      <c r="K678" s="28" t="str">
        <f t="shared" ca="1" si="67"/>
        <v>No</v>
      </c>
    </row>
    <row r="679" spans="2:11" ht="11.25" hidden="1">
      <c r="B679" s="27">
        <v>677</v>
      </c>
      <c r="C679" s="24">
        <f t="shared" ca="1" si="64"/>
        <v>3.5172740564963972E-2</v>
      </c>
      <c r="D679" s="24">
        <f t="shared" ca="1" si="65"/>
        <v>5.1840935965279618E-2</v>
      </c>
      <c r="E679" s="24">
        <f t="shared" ca="1" si="66"/>
        <v>6.4682673966791573E-2</v>
      </c>
      <c r="F679" s="25">
        <f ca="1">'Single Simulation'!$AP$4*Results!C679</f>
        <v>66690.894769853621</v>
      </c>
      <c r="G679" s="25">
        <f ca="1">'Single Simulation'!$AP$5*Results!D679</f>
        <v>49033.686419775615</v>
      </c>
      <c r="H679" s="25">
        <f t="shared" ca="1" si="62"/>
        <v>17657.208350078006</v>
      </c>
      <c r="I679" s="25">
        <f t="shared" ca="1" si="63"/>
        <v>1142.1154508718055</v>
      </c>
      <c r="J679" s="25">
        <f ca="1">'Single Simulation'!$AP$7*Results!E679</f>
        <v>903748.52507405775</v>
      </c>
      <c r="K679" s="28" t="str">
        <f t="shared" ca="1" si="67"/>
        <v>No</v>
      </c>
    </row>
    <row r="680" spans="2:11" ht="11.25" hidden="1">
      <c r="B680" s="27">
        <v>678</v>
      </c>
      <c r="C680" s="29">
        <f t="shared" ca="1" si="64"/>
        <v>5.6228469632874027E-2</v>
      </c>
      <c r="D680" s="29">
        <f t="shared" ca="1" si="65"/>
        <v>5.6762058527199954E-2</v>
      </c>
      <c r="E680" s="29">
        <f t="shared" ca="1" si="66"/>
        <v>0.14474790356204675</v>
      </c>
      <c r="F680" s="30">
        <f ca="1">'Single Simulation'!$AP$4*Results!C680</f>
        <v>106614.57967512669</v>
      </c>
      <c r="G680" s="30">
        <f ca="1">'Single Simulation'!$AP$5*Results!D680</f>
        <v>53688.324227551602</v>
      </c>
      <c r="H680" s="30">
        <f t="shared" ca="1" si="62"/>
        <v>52926.255447575088</v>
      </c>
      <c r="I680" s="30">
        <f t="shared" ca="1" si="63"/>
        <v>7660.9645194258501</v>
      </c>
      <c r="J680" s="25">
        <f ca="1">'Single Simulation'!$AP$7*Results!E680</f>
        <v>2022422.6416323355</v>
      </c>
      <c r="K680" s="28" t="str">
        <f t="shared" ca="1" si="67"/>
        <v>No</v>
      </c>
    </row>
    <row r="681" spans="2:11" ht="11.25" hidden="1">
      <c r="B681" s="27">
        <v>679</v>
      </c>
      <c r="C681" s="24">
        <f t="shared" ca="1" si="64"/>
        <v>6.7288194784561051E-2</v>
      </c>
      <c r="D681" s="24">
        <f t="shared" ca="1" si="65"/>
        <v>4.6284761689698951E-2</v>
      </c>
      <c r="E681" s="24">
        <f t="shared" ca="1" si="66"/>
        <v>1.866744163799982E-2</v>
      </c>
      <c r="F681" s="25">
        <f ca="1">'Single Simulation'!$AP$4*Results!C681</f>
        <v>127584.88094898815</v>
      </c>
      <c r="G681" s="25">
        <f ca="1">'Single Simulation'!$AP$5*Results!D681</f>
        <v>43778.38571870586</v>
      </c>
      <c r="H681" s="25">
        <f t="shared" ca="1" si="62"/>
        <v>83806.495230282293</v>
      </c>
      <c r="I681" s="25">
        <f t="shared" ca="1" si="63"/>
        <v>1564.452858596605</v>
      </c>
      <c r="J681" s="25">
        <f ca="1">'Single Simulation'!$AP$7*Results!E681</f>
        <v>260822.13075962017</v>
      </c>
      <c r="K681" s="28" t="str">
        <f t="shared" ca="1" si="67"/>
        <v>No</v>
      </c>
    </row>
    <row r="682" spans="2:11" ht="11.25" hidden="1">
      <c r="B682" s="27">
        <v>680</v>
      </c>
      <c r="C682" s="29">
        <f t="shared" ca="1" si="64"/>
        <v>5.7864765724976938E-2</v>
      </c>
      <c r="D682" s="29">
        <f t="shared" ca="1" si="65"/>
        <v>3.1479557190741109E-2</v>
      </c>
      <c r="E682" s="29">
        <f t="shared" ca="1" si="66"/>
        <v>0.10344202137576933</v>
      </c>
      <c r="F682" s="30">
        <f ca="1">'Single Simulation'!$AP$4*Results!C682</f>
        <v>109717.15424673854</v>
      </c>
      <c r="G682" s="30">
        <f ca="1">'Single Simulation'!$AP$5*Results!D682</f>
        <v>29774.900996347522</v>
      </c>
      <c r="H682" s="30">
        <f t="shared" ca="1" si="62"/>
        <v>79942.253250391019</v>
      </c>
      <c r="I682" s="30">
        <f t="shared" ca="1" si="63"/>
        <v>8269.3882695541124</v>
      </c>
      <c r="J682" s="25">
        <f ca="1">'Single Simulation'!$AP$7*Results!E682</f>
        <v>1445295.4480055459</v>
      </c>
      <c r="K682" s="28" t="str">
        <f t="shared" ca="1" si="67"/>
        <v>No</v>
      </c>
    </row>
    <row r="683" spans="2:11" ht="11.25" hidden="1">
      <c r="B683" s="27">
        <v>681</v>
      </c>
      <c r="C683" s="24">
        <f t="shared" ca="1" si="64"/>
        <v>6.3655779335499069E-2</v>
      </c>
      <c r="D683" s="24">
        <f t="shared" ca="1" si="65"/>
        <v>7.2918098384961494E-2</v>
      </c>
      <c r="E683" s="24">
        <f t="shared" ca="1" si="66"/>
        <v>4.3798044183819405E-2</v>
      </c>
      <c r="F683" s="25">
        <f ca="1">'Single Simulation'!$AP$4*Results!C683</f>
        <v>120697.47233133012</v>
      </c>
      <c r="G683" s="25">
        <f ca="1">'Single Simulation'!$AP$5*Results!D683</f>
        <v>68969.494935994124</v>
      </c>
      <c r="H683" s="25">
        <f t="shared" ca="1" si="62"/>
        <v>51727.977395335998</v>
      </c>
      <c r="I683" s="25">
        <f t="shared" ca="1" si="63"/>
        <v>2265.5842395005375</v>
      </c>
      <c r="J683" s="25">
        <f ca="1">'Single Simulation'!$AP$7*Results!E683</f>
        <v>611947.76599027158</v>
      </c>
      <c r="K683" s="28" t="str">
        <f t="shared" ca="1" si="67"/>
        <v>No</v>
      </c>
    </row>
    <row r="684" spans="2:11" ht="11.25" hidden="1">
      <c r="B684" s="27">
        <v>682</v>
      </c>
      <c r="C684" s="29">
        <f t="shared" ca="1" si="64"/>
        <v>8.9785713248884721E-2</v>
      </c>
      <c r="D684" s="29">
        <f t="shared" ca="1" si="65"/>
        <v>5.0332099132769953E-2</v>
      </c>
      <c r="E684" s="29">
        <f t="shared" ca="1" si="66"/>
        <v>6.7789728668841226E-2</v>
      </c>
      <c r="F684" s="30">
        <f ca="1">'Single Simulation'!$AP$4*Results!C684</f>
        <v>170242.3370467253</v>
      </c>
      <c r="G684" s="30">
        <f ca="1">'Single Simulation'!$AP$5*Results!D684</f>
        <v>47606.554931381252</v>
      </c>
      <c r="H684" s="30">
        <f t="shared" ca="1" si="62"/>
        <v>122635.78211534405</v>
      </c>
      <c r="I684" s="30">
        <f t="shared" ca="1" si="63"/>
        <v>8313.4463946903052</v>
      </c>
      <c r="J684" s="25">
        <f ca="1">'Single Simulation'!$AP$7*Results!E684</f>
        <v>947160.39926069742</v>
      </c>
      <c r="K684" s="28" t="str">
        <f t="shared" ca="1" si="67"/>
        <v>No</v>
      </c>
    </row>
    <row r="685" spans="2:11" ht="11.25" hidden="1">
      <c r="B685" s="27">
        <v>683</v>
      </c>
      <c r="C685" s="24">
        <f t="shared" ca="1" si="64"/>
        <v>8.0810028017827551E-2</v>
      </c>
      <c r="D685" s="24">
        <f t="shared" ca="1" si="65"/>
        <v>6.0059507149285367E-2</v>
      </c>
      <c r="E685" s="24">
        <f t="shared" ca="1" si="66"/>
        <v>8.4395089165393941E-2</v>
      </c>
      <c r="F685" s="25">
        <f ca="1">'Single Simulation'!$AP$4*Results!C685</f>
        <v>153223.57565319224</v>
      </c>
      <c r="G685" s="25">
        <f ca="1">'Single Simulation'!$AP$5*Results!D685</f>
        <v>56807.212008222581</v>
      </c>
      <c r="H685" s="25">
        <f t="shared" ca="1" si="62"/>
        <v>96416.36364496965</v>
      </c>
      <c r="I685" s="25">
        <f t="shared" ca="1" si="63"/>
        <v>8137.0676068202602</v>
      </c>
      <c r="J685" s="25">
        <f ca="1">'Single Simulation'!$AP$7*Results!E685</f>
        <v>1179171.0620355117</v>
      </c>
      <c r="K685" s="28" t="str">
        <f t="shared" ca="1" si="67"/>
        <v>No</v>
      </c>
    </row>
    <row r="686" spans="2:11" ht="11.25" hidden="1">
      <c r="B686" s="27">
        <v>684</v>
      </c>
      <c r="C686" s="29">
        <f t="shared" ca="1" si="64"/>
        <v>2.7875598130705725E-2</v>
      </c>
      <c r="D686" s="29">
        <f t="shared" ca="1" si="65"/>
        <v>6.8086287949225666E-2</v>
      </c>
      <c r="E686" s="29">
        <f t="shared" ca="1" si="66"/>
        <v>7.1657792147246685E-2</v>
      </c>
      <c r="F686" s="30">
        <f ca="1">'Single Simulation'!$AP$4*Results!C686</f>
        <v>52854.811758212738</v>
      </c>
      <c r="G686" s="30">
        <f ca="1">'Single Simulation'!$AP$5*Results!D686</f>
        <v>64399.332894468724</v>
      </c>
      <c r="H686" s="30">
        <f t="shared" ca="1" si="62"/>
        <v>-11544.521136255986</v>
      </c>
      <c r="I686" s="30">
        <f t="shared" ca="1" si="63"/>
        <v>-827.25489602132757</v>
      </c>
      <c r="J686" s="25">
        <f ca="1">'Single Simulation'!$AP$7*Results!E686</f>
        <v>1001205.1140060481</v>
      </c>
      <c r="K686" s="28" t="str">
        <f t="shared" ca="1" si="67"/>
        <v>No</v>
      </c>
    </row>
    <row r="687" spans="2:11" ht="11.25" hidden="1">
      <c r="B687" s="27">
        <v>685</v>
      </c>
      <c r="C687" s="24">
        <f t="shared" ca="1" si="64"/>
        <v>7.9697761024042274E-2</v>
      </c>
      <c r="D687" s="24">
        <f t="shared" ca="1" si="65"/>
        <v>2.6367270435503243E-2</v>
      </c>
      <c r="E687" s="24">
        <f t="shared" ca="1" si="66"/>
        <v>0.11486879079981802</v>
      </c>
      <c r="F687" s="25">
        <f ca="1">'Single Simulation'!$AP$4*Results!C687</f>
        <v>151114.61058970768</v>
      </c>
      <c r="G687" s="25">
        <f ca="1">'Single Simulation'!$AP$5*Results!D687</f>
        <v>24939.4507681303</v>
      </c>
      <c r="H687" s="25">
        <f t="shared" ca="1" si="62"/>
        <v>126175.15982157737</v>
      </c>
      <c r="I687" s="25">
        <f t="shared" ca="1" si="63"/>
        <v>14493.588037678375</v>
      </c>
      <c r="J687" s="25">
        <f ca="1">'Single Simulation'!$AP$7*Results!E687</f>
        <v>1604950.6598269874</v>
      </c>
      <c r="K687" s="28" t="str">
        <f t="shared" ca="1" si="67"/>
        <v>No</v>
      </c>
    </row>
    <row r="688" spans="2:11" ht="11.25" hidden="1">
      <c r="B688" s="27">
        <v>686</v>
      </c>
      <c r="C688" s="29">
        <f t="shared" ca="1" si="64"/>
        <v>0.10190450407961328</v>
      </c>
      <c r="D688" s="29">
        <f t="shared" ca="1" si="65"/>
        <v>4.3670493652092697E-2</v>
      </c>
      <c r="E688" s="29">
        <f t="shared" ca="1" si="66"/>
        <v>1.3782848029044552E-2</v>
      </c>
      <c r="F688" s="30">
        <f ca="1">'Single Simulation'!$AP$4*Results!C688</f>
        <v>193220.72858085149</v>
      </c>
      <c r="G688" s="30">
        <f ca="1">'Single Simulation'!$AP$5*Results!D688</f>
        <v>41305.68346543095</v>
      </c>
      <c r="H688" s="30">
        <f t="shared" ca="1" si="62"/>
        <v>151915.04511542054</v>
      </c>
      <c r="I688" s="30">
        <f t="shared" ca="1" si="63"/>
        <v>2093.8219801512882</v>
      </c>
      <c r="J688" s="25">
        <f ca="1">'Single Simulation'!$AP$7*Results!E688</f>
        <v>192574.42238649551</v>
      </c>
      <c r="K688" s="28" t="str">
        <f t="shared" ca="1" si="67"/>
        <v>No</v>
      </c>
    </row>
    <row r="689" spans="2:11" ht="11.25" hidden="1">
      <c r="B689" s="27">
        <v>687</v>
      </c>
      <c r="C689" s="24">
        <f t="shared" ca="1" si="64"/>
        <v>6.5865098323152377E-2</v>
      </c>
      <c r="D689" s="24">
        <f t="shared" ca="1" si="65"/>
        <v>2.8100092334544465E-2</v>
      </c>
      <c r="E689" s="24">
        <f t="shared" ca="1" si="66"/>
        <v>4.0704809561846189E-2</v>
      </c>
      <c r="F689" s="25">
        <f ca="1">'Single Simulation'!$AP$4*Results!C689</f>
        <v>124886.5533569183</v>
      </c>
      <c r="G689" s="25">
        <f ca="1">'Single Simulation'!$AP$5*Results!D689</f>
        <v>26578.438260096369</v>
      </c>
      <c r="H689" s="25">
        <f t="shared" ca="1" si="62"/>
        <v>98308.11509682193</v>
      </c>
      <c r="I689" s="25">
        <f t="shared" ca="1" si="63"/>
        <v>4001.6131034001928</v>
      </c>
      <c r="J689" s="25">
        <f ca="1">'Single Simulation'!$AP$7*Results!E689</f>
        <v>568728.98643345351</v>
      </c>
      <c r="K689" s="28" t="str">
        <f t="shared" ca="1" si="67"/>
        <v>No</v>
      </c>
    </row>
    <row r="690" spans="2:11" ht="11.25" hidden="1">
      <c r="B690" s="27">
        <v>688</v>
      </c>
      <c r="C690" s="29">
        <f t="shared" ca="1" si="64"/>
        <v>5.9386667516775751E-2</v>
      </c>
      <c r="D690" s="29">
        <f t="shared" ca="1" si="65"/>
        <v>5.6081106682718276E-2</v>
      </c>
      <c r="E690" s="29">
        <f t="shared" ca="1" si="66"/>
        <v>0.10446184933425123</v>
      </c>
      <c r="F690" s="30">
        <f ca="1">'Single Simulation'!$AP$4*Results!C690</f>
        <v>112602.82623637044</v>
      </c>
      <c r="G690" s="30">
        <f ca="1">'Single Simulation'!$AP$5*Results!D690</f>
        <v>53044.246751179555</v>
      </c>
      <c r="H690" s="30">
        <f t="shared" ca="1" si="62"/>
        <v>59558.579485190887</v>
      </c>
      <c r="I690" s="30">
        <f t="shared" ca="1" si="63"/>
        <v>6221.5993567440364</v>
      </c>
      <c r="J690" s="25">
        <f ca="1">'Single Simulation'!$AP$7*Results!E690</f>
        <v>1459544.5189975784</v>
      </c>
      <c r="K690" s="28" t="str">
        <f t="shared" ca="1" si="67"/>
        <v>No</v>
      </c>
    </row>
    <row r="691" spans="2:11" ht="11.25" hidden="1">
      <c r="B691" s="27">
        <v>689</v>
      </c>
      <c r="C691" s="24">
        <f t="shared" ca="1" si="64"/>
        <v>5.2113663074974462E-2</v>
      </c>
      <c r="D691" s="24">
        <f t="shared" ca="1" si="65"/>
        <v>5.408680271426379E-2</v>
      </c>
      <c r="E691" s="24">
        <f t="shared" ca="1" si="66"/>
        <v>6.2117438562260839E-2</v>
      </c>
      <c r="F691" s="25">
        <f ca="1">'Single Simulation'!$AP$4*Results!C691</f>
        <v>98812.511177099645</v>
      </c>
      <c r="G691" s="25">
        <f ca="1">'Single Simulation'!$AP$5*Results!D691</f>
        <v>51157.936760935459</v>
      </c>
      <c r="H691" s="25">
        <f t="shared" ref="H691:H754" ca="1" si="68">F691-G691</f>
        <v>47654.574416164185</v>
      </c>
      <c r="I691" s="25">
        <f t="shared" ref="I691:I754" ca="1" si="69">H691*E691</f>
        <v>2960.1800985067662</v>
      </c>
      <c r="J691" s="25">
        <f ca="1">'Single Simulation'!$AP$7*Results!E691</f>
        <v>867906.96857775946</v>
      </c>
      <c r="K691" s="28" t="str">
        <f t="shared" ca="1" si="67"/>
        <v>No</v>
      </c>
    </row>
    <row r="692" spans="2:11" ht="11.25" hidden="1">
      <c r="B692" s="27">
        <v>690</v>
      </c>
      <c r="C692" s="29">
        <f t="shared" ca="1" si="64"/>
        <v>6.0642606118381168E-2</v>
      </c>
      <c r="D692" s="29">
        <f t="shared" ca="1" si="65"/>
        <v>6.52081514137271E-2</v>
      </c>
      <c r="E692" s="29">
        <f t="shared" ca="1" si="66"/>
        <v>2.5598474938191028E-2</v>
      </c>
      <c r="F692" s="30">
        <f ca="1">'Single Simulation'!$AP$4*Results!C692</f>
        <v>114984.20646923459</v>
      </c>
      <c r="G692" s="30">
        <f ca="1">'Single Simulation'!$AP$5*Results!D692</f>
        <v>61677.050942432703</v>
      </c>
      <c r="H692" s="30">
        <f t="shared" ca="1" si="68"/>
        <v>53307.155526801886</v>
      </c>
      <c r="I692" s="30">
        <f t="shared" ca="1" si="69"/>
        <v>1364.5818847790895</v>
      </c>
      <c r="J692" s="25">
        <f ca="1">'Single Simulation'!$AP$7*Results!E692</f>
        <v>357662.76424213371</v>
      </c>
      <c r="K692" s="28" t="str">
        <f t="shared" ca="1" si="67"/>
        <v>No</v>
      </c>
    </row>
    <row r="693" spans="2:11" ht="11.25" hidden="1">
      <c r="B693" s="27">
        <v>691</v>
      </c>
      <c r="C693" s="24">
        <f t="shared" ca="1" si="64"/>
        <v>6.2868310714422213E-2</v>
      </c>
      <c r="D693" s="24">
        <f t="shared" ca="1" si="65"/>
        <v>4.0005242465555632E-2</v>
      </c>
      <c r="E693" s="24">
        <f t="shared" ca="1" si="66"/>
        <v>9.9325538360551774E-2</v>
      </c>
      <c r="F693" s="25">
        <f ca="1">'Single Simulation'!$AP$4*Results!C693</f>
        <v>119204.35618231125</v>
      </c>
      <c r="G693" s="25">
        <f ca="1">'Single Simulation'!$AP$5*Results!D693</f>
        <v>37838.910075175481</v>
      </c>
      <c r="H693" s="25">
        <f t="shared" ca="1" si="68"/>
        <v>81365.446107135765</v>
      </c>
      <c r="I693" s="25">
        <f t="shared" ca="1" si="69"/>
        <v>8081.6667385377214</v>
      </c>
      <c r="J693" s="25">
        <f ca="1">'Single Simulation'!$AP$7*Results!E693</f>
        <v>1387779.8070256247</v>
      </c>
      <c r="K693" s="28" t="str">
        <f t="shared" ca="1" si="67"/>
        <v>No</v>
      </c>
    </row>
    <row r="694" spans="2:11" ht="11.25" hidden="1">
      <c r="B694" s="27">
        <v>692</v>
      </c>
      <c r="C694" s="29">
        <f t="shared" ca="1" si="64"/>
        <v>6.1482236928308703E-2</v>
      </c>
      <c r="D694" s="29">
        <f t="shared" ca="1" si="65"/>
        <v>5.0513132847271228E-2</v>
      </c>
      <c r="E694" s="29">
        <f t="shared" ca="1" si="66"/>
        <v>6.5233674187346699E-2</v>
      </c>
      <c r="F694" s="30">
        <f ca="1">'Single Simulation'!$AP$4*Results!C694</f>
        <v>116576.22713896263</v>
      </c>
      <c r="G694" s="30">
        <f ca="1">'Single Simulation'!$AP$5*Results!D694</f>
        <v>47777.785450718475</v>
      </c>
      <c r="H694" s="30">
        <f t="shared" ca="1" si="68"/>
        <v>68798.441688244144</v>
      </c>
      <c r="I694" s="30">
        <f t="shared" ca="1" si="69"/>
        <v>4487.9751296880895</v>
      </c>
      <c r="J694" s="25">
        <f ca="1">'Single Simulation'!$AP$7*Results!E694</f>
        <v>911447.11893395032</v>
      </c>
      <c r="K694" s="28" t="str">
        <f t="shared" ca="1" si="67"/>
        <v>No</v>
      </c>
    </row>
    <row r="695" spans="2:11" ht="11.25" hidden="1">
      <c r="B695" s="27">
        <v>693</v>
      </c>
      <c r="C695" s="24">
        <f t="shared" ca="1" si="64"/>
        <v>4.5648986451638063E-2</v>
      </c>
      <c r="D695" s="24">
        <f t="shared" ca="1" si="65"/>
        <v>5.6536367729504884E-2</v>
      </c>
      <c r="E695" s="24">
        <f t="shared" ca="1" si="66"/>
        <v>0.10306667071002881</v>
      </c>
      <c r="F695" s="25">
        <f ca="1">'Single Simulation'!$AP$4*Results!C695</f>
        <v>86554.863308809276</v>
      </c>
      <c r="G695" s="25">
        <f ca="1">'Single Simulation'!$AP$5*Results!D695</f>
        <v>53474.854860227279</v>
      </c>
      <c r="H695" s="25">
        <f t="shared" ca="1" si="68"/>
        <v>33080.008448581997</v>
      </c>
      <c r="I695" s="25">
        <f t="shared" ca="1" si="69"/>
        <v>3409.4463378549717</v>
      </c>
      <c r="J695" s="25">
        <f ca="1">'Single Simulation'!$AP$7*Results!E695</f>
        <v>1440051.0357117264</v>
      </c>
      <c r="K695" s="28" t="str">
        <f t="shared" ca="1" si="67"/>
        <v>No</v>
      </c>
    </row>
    <row r="696" spans="2:11" ht="11.25" hidden="1">
      <c r="B696" s="27">
        <v>694</v>
      </c>
      <c r="C696" s="29">
        <f t="shared" ca="1" si="64"/>
        <v>5.2489653292934223E-2</v>
      </c>
      <c r="D696" s="29">
        <f t="shared" ca="1" si="65"/>
        <v>4.1927950518250268E-2</v>
      </c>
      <c r="E696" s="29">
        <f t="shared" ca="1" si="66"/>
        <v>6.3409989514738516E-2</v>
      </c>
      <c r="F696" s="30">
        <f ca="1">'Single Simulation'!$AP$4*Results!C696</f>
        <v>99525.424747599929</v>
      </c>
      <c r="G696" s="30">
        <f ca="1">'Single Simulation'!$AP$5*Results!D696</f>
        <v>39657.501155316248</v>
      </c>
      <c r="H696" s="30">
        <f t="shared" ca="1" si="68"/>
        <v>59867.923592283682</v>
      </c>
      <c r="I696" s="30">
        <f t="shared" ca="1" si="69"/>
        <v>3796.2244072558747</v>
      </c>
      <c r="J696" s="25">
        <f ca="1">'Single Simulation'!$AP$7*Results!E696</f>
        <v>885966.53453640395</v>
      </c>
      <c r="K696" s="28" t="str">
        <f t="shared" ca="1" si="67"/>
        <v>No</v>
      </c>
    </row>
    <row r="697" spans="2:11" ht="11.25" hidden="1">
      <c r="B697" s="27">
        <v>695</v>
      </c>
      <c r="C697" s="24">
        <f t="shared" ca="1" si="64"/>
        <v>9.2940792637161485E-2</v>
      </c>
      <c r="D697" s="24">
        <f t="shared" ca="1" si="65"/>
        <v>4.1448854753187936E-2</v>
      </c>
      <c r="E697" s="24">
        <f t="shared" ca="1" si="66"/>
        <v>-3.7082891852920061E-2</v>
      </c>
      <c r="F697" s="25">
        <f ca="1">'Single Simulation'!$AP$4*Results!C697</f>
        <v>176224.67064070451</v>
      </c>
      <c r="G697" s="25">
        <f ca="1">'Single Simulation'!$AP$5*Results!D697</f>
        <v>39204.349006889715</v>
      </c>
      <c r="H697" s="25">
        <f t="shared" ca="1" si="68"/>
        <v>137020.3216338148</v>
      </c>
      <c r="I697" s="25">
        <f t="shared" ca="1" si="69"/>
        <v>-5081.1097687990778</v>
      </c>
      <c r="J697" s="25">
        <f ca="1">'Single Simulation'!$AP$7*Results!E697</f>
        <v>-518123.42876800924</v>
      </c>
      <c r="K697" s="28" t="str">
        <f t="shared" ca="1" si="67"/>
        <v>No</v>
      </c>
    </row>
    <row r="698" spans="2:11" ht="11.25" hidden="1">
      <c r="B698" s="27">
        <v>696</v>
      </c>
      <c r="C698" s="29">
        <f t="shared" ca="1" si="64"/>
        <v>8.6748850302902303E-2</v>
      </c>
      <c r="D698" s="29">
        <f t="shared" ca="1" si="65"/>
        <v>2.3052071236151547E-2</v>
      </c>
      <c r="E698" s="29">
        <f t="shared" ca="1" si="66"/>
        <v>6.0820731853303209E-2</v>
      </c>
      <c r="F698" s="30">
        <f ca="1">'Single Simulation'!$AP$4*Results!C698</f>
        <v>164484.1531830907</v>
      </c>
      <c r="G698" s="30">
        <f ca="1">'Single Simulation'!$AP$5*Results!D698</f>
        <v>21803.773625476584</v>
      </c>
      <c r="H698" s="30">
        <f t="shared" ca="1" si="68"/>
        <v>142680.37955761413</v>
      </c>
      <c r="I698" s="30">
        <f t="shared" ca="1" si="69"/>
        <v>8677.9251058011741</v>
      </c>
      <c r="J698" s="25">
        <f ca="1">'Single Simulation'!$AP$7*Results!E698</f>
        <v>849789.33824794728</v>
      </c>
      <c r="K698" s="28" t="str">
        <f t="shared" ca="1" si="67"/>
        <v>No</v>
      </c>
    </row>
    <row r="699" spans="2:11" ht="11.25" hidden="1">
      <c r="B699" s="27">
        <v>697</v>
      </c>
      <c r="C699" s="24">
        <f t="shared" ca="1" si="64"/>
        <v>4.5492964590931752E-2</v>
      </c>
      <c r="D699" s="24">
        <f t="shared" ca="1" si="65"/>
        <v>2.6465338995931273E-2</v>
      </c>
      <c r="E699" s="24">
        <f t="shared" ca="1" si="66"/>
        <v>9.9994688239768939E-2</v>
      </c>
      <c r="F699" s="25">
        <f ca="1">'Single Simulation'!$AP$4*Results!C699</f>
        <v>86259.030873604439</v>
      </c>
      <c r="G699" s="25">
        <f ca="1">'Single Simulation'!$AP$5*Results!D699</f>
        <v>25032.208797091957</v>
      </c>
      <c r="H699" s="25">
        <f t="shared" ca="1" si="68"/>
        <v>61226.822076512486</v>
      </c>
      <c r="I699" s="25">
        <f t="shared" ca="1" si="69"/>
        <v>6122.3569854526686</v>
      </c>
      <c r="J699" s="25">
        <f ca="1">'Single Simulation'!$AP$7*Results!E699</f>
        <v>1397129.1919429286</v>
      </c>
      <c r="K699" s="28" t="str">
        <f t="shared" ca="1" si="67"/>
        <v>No</v>
      </c>
    </row>
    <row r="700" spans="2:11" ht="11.25" hidden="1">
      <c r="B700" s="27">
        <v>698</v>
      </c>
      <c r="C700" s="29">
        <f t="shared" ca="1" si="64"/>
        <v>7.6578376589375136E-2</v>
      </c>
      <c r="D700" s="29">
        <f t="shared" ca="1" si="65"/>
        <v>4.1529924694156763E-2</v>
      </c>
      <c r="E700" s="29">
        <f t="shared" ca="1" si="66"/>
        <v>6.3883703097691147E-2</v>
      </c>
      <c r="F700" s="30">
        <f ca="1">'Single Simulation'!$AP$4*Results!C700</f>
        <v>145199.95805659425</v>
      </c>
      <c r="G700" s="30">
        <f ca="1">'Single Simulation'!$AP$5*Results!D700</f>
        <v>39281.028912248628</v>
      </c>
      <c r="H700" s="30">
        <f t="shared" ca="1" si="68"/>
        <v>105918.92914434562</v>
      </c>
      <c r="I700" s="30">
        <f t="shared" ca="1" si="69"/>
        <v>6766.4934218827611</v>
      </c>
      <c r="J700" s="25">
        <f ca="1">'Single Simulation'!$AP$7*Results!E700</f>
        <v>892585.27686175657</v>
      </c>
      <c r="K700" s="28" t="str">
        <f t="shared" ca="1" si="67"/>
        <v>No</v>
      </c>
    </row>
    <row r="701" spans="2:11" ht="11.25" hidden="1">
      <c r="B701" s="27">
        <v>699</v>
      </c>
      <c r="C701" s="24">
        <f t="shared" ca="1" si="64"/>
        <v>8.788753605935995E-2</v>
      </c>
      <c r="D701" s="24">
        <f t="shared" ca="1" si="65"/>
        <v>3.6456429244837066E-2</v>
      </c>
      <c r="E701" s="24">
        <f t="shared" ca="1" si="66"/>
        <v>7.9369206720577123E-2</v>
      </c>
      <c r="F701" s="25">
        <f ca="1">'Single Simulation'!$AP$4*Results!C701</f>
        <v>166643.21075836231</v>
      </c>
      <c r="G701" s="25">
        <f ca="1">'Single Simulation'!$AP$5*Results!D701</f>
        <v>34482.269393695271</v>
      </c>
      <c r="H701" s="25">
        <f t="shared" ca="1" si="68"/>
        <v>132160.94136466703</v>
      </c>
      <c r="I701" s="25">
        <f t="shared" ca="1" si="69"/>
        <v>10489.50907555833</v>
      </c>
      <c r="J701" s="25">
        <f ca="1">'Single Simulation'!$AP$7*Results!E701</f>
        <v>1108949.2612325526</v>
      </c>
      <c r="K701" s="28" t="str">
        <f t="shared" ca="1" si="67"/>
        <v>No</v>
      </c>
    </row>
    <row r="702" spans="2:11" ht="11.25" hidden="1">
      <c r="B702" s="27">
        <v>700</v>
      </c>
      <c r="C702" s="29">
        <f t="shared" ca="1" si="64"/>
        <v>6.0237904749683741E-2</v>
      </c>
      <c r="D702" s="29">
        <f t="shared" ca="1" si="65"/>
        <v>6.2535203131083086E-2</v>
      </c>
      <c r="E702" s="29">
        <f t="shared" ca="1" si="66"/>
        <v>-1.0655982345869661E-2</v>
      </c>
      <c r="F702" s="30">
        <f ca="1">'Single Simulation'!$AP$4*Results!C702</f>
        <v>114216.85379897093</v>
      </c>
      <c r="G702" s="30">
        <f ca="1">'Single Simulation'!$AP$5*Results!D702</f>
        <v>59148.846050545246</v>
      </c>
      <c r="H702" s="30">
        <f t="shared" ca="1" si="68"/>
        <v>55068.007748425684</v>
      </c>
      <c r="I702" s="30">
        <f t="shared" ca="1" si="69"/>
        <v>-586.80371838943779</v>
      </c>
      <c r="J702" s="25">
        <f ca="1">'Single Simulation'!$AP$7*Results!E702</f>
        <v>-148885.74849640825</v>
      </c>
      <c r="K702" s="28" t="str">
        <f t="shared" ca="1" si="67"/>
        <v>No</v>
      </c>
    </row>
    <row r="703" spans="2:11" ht="11.25" hidden="1">
      <c r="B703" s="27">
        <v>701</v>
      </c>
      <c r="C703" s="24">
        <f t="shared" ca="1" si="64"/>
        <v>8.4535283333681197E-2</v>
      </c>
      <c r="D703" s="24">
        <f t="shared" ca="1" si="65"/>
        <v>5.7915024904738141E-2</v>
      </c>
      <c r="E703" s="24">
        <f t="shared" ca="1" si="66"/>
        <v>8.7150436945542586E-2</v>
      </c>
      <c r="F703" s="25">
        <f ca="1">'Single Simulation'!$AP$4*Results!C703</f>
        <v>160287.01757639306</v>
      </c>
      <c r="G703" s="25">
        <f ca="1">'Single Simulation'!$AP$5*Results!D703</f>
        <v>54778.856077644276</v>
      </c>
      <c r="H703" s="25">
        <f t="shared" ca="1" si="68"/>
        <v>105508.16149874878</v>
      </c>
      <c r="I703" s="25">
        <f t="shared" ca="1" si="69"/>
        <v>9195.0823759368304</v>
      </c>
      <c r="J703" s="25">
        <f ca="1">'Single Simulation'!$AP$7*Results!E703</f>
        <v>1217668.8751230454</v>
      </c>
      <c r="K703" s="28" t="str">
        <f t="shared" ca="1" si="67"/>
        <v>No</v>
      </c>
    </row>
    <row r="704" spans="2:11" ht="11.25" hidden="1">
      <c r="B704" s="27">
        <v>702</v>
      </c>
      <c r="C704" s="29">
        <f t="shared" ca="1" si="64"/>
        <v>8.5140401030717142E-2</v>
      </c>
      <c r="D704" s="29">
        <f t="shared" ca="1" si="65"/>
        <v>5.9558980562686686E-2</v>
      </c>
      <c r="E704" s="29">
        <f t="shared" ca="1" si="66"/>
        <v>0.12389565678073894</v>
      </c>
      <c r="F704" s="30">
        <f ca="1">'Single Simulation'!$AP$4*Results!C704</f>
        <v>161434.37885698088</v>
      </c>
      <c r="G704" s="30">
        <f ca="1">'Single Simulation'!$AP$5*Results!D704</f>
        <v>56333.789543233186</v>
      </c>
      <c r="H704" s="30">
        <f t="shared" ca="1" si="68"/>
        <v>105100.5893137477</v>
      </c>
      <c r="I704" s="30">
        <f t="shared" ca="1" si="69"/>
        <v>13021.506541069482</v>
      </c>
      <c r="J704" s="25">
        <f ca="1">'Single Simulation'!$AP$7*Results!E704</f>
        <v>1731074.3389514287</v>
      </c>
      <c r="K704" s="28" t="str">
        <f t="shared" ca="1" si="67"/>
        <v>No</v>
      </c>
    </row>
    <row r="705" spans="2:11" ht="11.25" hidden="1">
      <c r="B705" s="27">
        <v>703</v>
      </c>
      <c r="C705" s="24">
        <f t="shared" ca="1" si="64"/>
        <v>3.9371604156100221E-2</v>
      </c>
      <c r="D705" s="24">
        <f t="shared" ca="1" si="65"/>
        <v>4.302495902967076E-2</v>
      </c>
      <c r="E705" s="24">
        <f t="shared" ca="1" si="66"/>
        <v>4.8418358721150696E-2</v>
      </c>
      <c r="F705" s="25">
        <f ca="1">'Single Simulation'!$AP$4*Results!C705</f>
        <v>74652.343477332935</v>
      </c>
      <c r="G705" s="25">
        <f ca="1">'Single Simulation'!$AP$5*Results!D705</f>
        <v>40695.105325596727</v>
      </c>
      <c r="H705" s="25">
        <f t="shared" ca="1" si="68"/>
        <v>33957.238151736208</v>
      </c>
      <c r="I705" s="25">
        <f t="shared" ca="1" si="69"/>
        <v>1644.153738010308</v>
      </c>
      <c r="J705" s="25">
        <f ca="1">'Single Simulation'!$AP$7*Results!E705</f>
        <v>676502.95816793514</v>
      </c>
      <c r="K705" s="28" t="str">
        <f t="shared" ca="1" si="67"/>
        <v>No</v>
      </c>
    </row>
    <row r="706" spans="2:11" ht="11.25" hidden="1">
      <c r="B706" s="27">
        <v>704</v>
      </c>
      <c r="C706" s="29">
        <f t="shared" ca="1" si="64"/>
        <v>6.0929523463314088E-2</v>
      </c>
      <c r="D706" s="29">
        <f t="shared" ca="1" si="65"/>
        <v>2.1303876208652681E-2</v>
      </c>
      <c r="E706" s="29">
        <f t="shared" ca="1" si="66"/>
        <v>4.9119416888858555E-2</v>
      </c>
      <c r="F706" s="30">
        <f ca="1">'Single Simulation'!$AP$4*Results!C706</f>
        <v>115528.22931622388</v>
      </c>
      <c r="G706" s="30">
        <f ca="1">'Single Simulation'!$AP$5*Results!D706</f>
        <v>20150.245478600504</v>
      </c>
      <c r="H706" s="30">
        <f t="shared" ca="1" si="68"/>
        <v>95377.983837623382</v>
      </c>
      <c r="I706" s="30">
        <f t="shared" ca="1" si="69"/>
        <v>4684.9109501390367</v>
      </c>
      <c r="J706" s="25">
        <f ca="1">'Single Simulation'!$AP$7*Results!E706</f>
        <v>686298.16677947738</v>
      </c>
      <c r="K706" s="28" t="str">
        <f t="shared" ca="1" si="67"/>
        <v>No</v>
      </c>
    </row>
    <row r="707" spans="2:11" ht="11.25" hidden="1">
      <c r="B707" s="27">
        <v>705</v>
      </c>
      <c r="C707" s="24">
        <f t="shared" ca="1" si="64"/>
        <v>6.3417649812711724E-2</v>
      </c>
      <c r="D707" s="24">
        <f t="shared" ca="1" si="65"/>
        <v>6.7206675756273759E-2</v>
      </c>
      <c r="E707" s="24">
        <f t="shared" ca="1" si="66"/>
        <v>0.11751083207092396</v>
      </c>
      <c r="F707" s="25">
        <f ca="1">'Single Simulation'!$AP$4*Results!C707</f>
        <v>120245.9558816388</v>
      </c>
      <c r="G707" s="25">
        <f ca="1">'Single Simulation'!$AP$5*Results!D707</f>
        <v>63567.352768394201</v>
      </c>
      <c r="H707" s="25">
        <f t="shared" ca="1" si="68"/>
        <v>56678.603113244601</v>
      </c>
      <c r="I707" s="25">
        <f t="shared" ca="1" si="69"/>
        <v>6660.3498124550342</v>
      </c>
      <c r="J707" s="25">
        <f ca="1">'Single Simulation'!$AP$7*Results!E707</f>
        <v>1641865.3505086475</v>
      </c>
      <c r="K707" s="28" t="str">
        <f t="shared" ca="1" si="67"/>
        <v>No</v>
      </c>
    </row>
    <row r="708" spans="2:11" ht="11.25" hidden="1">
      <c r="B708" s="27">
        <v>706</v>
      </c>
      <c r="C708" s="29">
        <f t="shared" ref="C708:C771" ca="1" si="70">MAX(0.02,MIN(0.12,_xlfn.NORM.INV(RAND(),0.06,0.02)))</f>
        <v>8.3067478761261512E-2</v>
      </c>
      <c r="D708" s="29">
        <f t="shared" ref="D708:D771" ca="1" si="71">MAX(0.02,MIN(0.08,_xlfn.NORM.INV(RAND(),0.05,0.015)))</f>
        <v>5.0964499916972709E-2</v>
      </c>
      <c r="E708" s="29">
        <f t="shared" ref="E708:E771" ca="1" si="72">MAX(-0.1,MIN(0.25,_xlfn.NORM.INV(RAND(),0.07,0.04)))</f>
        <v>8.3700128957084466E-2</v>
      </c>
      <c r="F708" s="30">
        <f ca="1">'Single Simulation'!$AP$4*Results!C708</f>
        <v>157503.91911122939</v>
      </c>
      <c r="G708" s="30">
        <f ca="1">'Single Simulation'!$AP$5*Results!D708</f>
        <v>48204.710446262121</v>
      </c>
      <c r="H708" s="30">
        <f t="shared" ca="1" si="68"/>
        <v>109299.20866496727</v>
      </c>
      <c r="I708" s="30">
        <f t="shared" ca="1" si="69"/>
        <v>9148.3578601650443</v>
      </c>
      <c r="J708" s="25">
        <f ca="1">'Single Simulation'!$AP$7*Results!E708</f>
        <v>1169461.0543205044</v>
      </c>
      <c r="K708" s="28" t="str">
        <f t="shared" ref="K708:K771" ca="1" si="73">IF(J708&gt;$N$4,"Yes","No")</f>
        <v>No</v>
      </c>
    </row>
    <row r="709" spans="2:11" ht="11.25" hidden="1">
      <c r="B709" s="27">
        <v>707</v>
      </c>
      <c r="C709" s="24">
        <f t="shared" ca="1" si="70"/>
        <v>5.849442033971744E-2</v>
      </c>
      <c r="D709" s="24">
        <f t="shared" ca="1" si="71"/>
        <v>7.5937030760313259E-2</v>
      </c>
      <c r="E709" s="24">
        <f t="shared" ca="1" si="72"/>
        <v>9.2700584099479844E-2</v>
      </c>
      <c r="F709" s="25">
        <f ca="1">'Single Simulation'!$AP$4*Results!C709</f>
        <v>110911.03988028626</v>
      </c>
      <c r="G709" s="25">
        <f ca="1">'Single Simulation'!$AP$5*Results!D709</f>
        <v>71824.948462424465</v>
      </c>
      <c r="H709" s="25">
        <f t="shared" ca="1" si="68"/>
        <v>39086.091417861797</v>
      </c>
      <c r="I709" s="25">
        <f t="shared" ca="1" si="69"/>
        <v>3623.3035046014547</v>
      </c>
      <c r="J709" s="25">
        <f ca="1">'Single Simulation'!$AP$7*Results!E709</f>
        <v>1295215.7203089755</v>
      </c>
      <c r="K709" s="28" t="str">
        <f t="shared" ca="1" si="73"/>
        <v>No</v>
      </c>
    </row>
    <row r="710" spans="2:11" ht="11.25" hidden="1">
      <c r="B710" s="27">
        <v>708</v>
      </c>
      <c r="C710" s="29">
        <f t="shared" ca="1" si="70"/>
        <v>7.1849631538529246E-2</v>
      </c>
      <c r="D710" s="29">
        <f t="shared" ca="1" si="71"/>
        <v>6.2092205815533909E-2</v>
      </c>
      <c r="E710" s="29">
        <f t="shared" ca="1" si="72"/>
        <v>7.7634802219322688E-2</v>
      </c>
      <c r="F710" s="30">
        <f ca="1">'Single Simulation'!$AP$4*Results!C710</f>
        <v>136233.80320161636</v>
      </c>
      <c r="G710" s="30">
        <f ca="1">'Single Simulation'!$AP$5*Results!D710</f>
        <v>58729.837576817285</v>
      </c>
      <c r="H710" s="30">
        <f t="shared" ca="1" si="68"/>
        <v>77503.965624799079</v>
      </c>
      <c r="I710" s="30">
        <f t="shared" ca="1" si="69"/>
        <v>6017.0050424944611</v>
      </c>
      <c r="J710" s="25">
        <f ca="1">'Single Simulation'!$AP$7*Results!E710</f>
        <v>1084716.1024318626</v>
      </c>
      <c r="K710" s="28" t="str">
        <f t="shared" ca="1" si="73"/>
        <v>No</v>
      </c>
    </row>
    <row r="711" spans="2:11" ht="11.25" hidden="1">
      <c r="B711" s="27">
        <v>709</v>
      </c>
      <c r="C711" s="24">
        <f t="shared" ca="1" si="70"/>
        <v>8.5686439607284642E-2</v>
      </c>
      <c r="D711" s="24">
        <f t="shared" ca="1" si="71"/>
        <v>2.7951369163474075E-2</v>
      </c>
      <c r="E711" s="24">
        <f t="shared" ca="1" si="72"/>
        <v>1.6740640521507588E-3</v>
      </c>
      <c r="F711" s="25">
        <f ca="1">'Single Simulation'!$AP$4*Results!C711</f>
        <v>162469.72045007866</v>
      </c>
      <c r="G711" s="25">
        <f ca="1">'Single Simulation'!$AP$5*Results!D711</f>
        <v>26437.768629083068</v>
      </c>
      <c r="H711" s="25">
        <f t="shared" ca="1" si="68"/>
        <v>136031.9518209956</v>
      </c>
      <c r="I711" s="25">
        <f t="shared" ca="1" si="69"/>
        <v>227.72620048743269</v>
      </c>
      <c r="J711" s="25">
        <f ca="1">'Single Simulation'!$AP$7*Results!E711</f>
        <v>23390.079989387832</v>
      </c>
      <c r="K711" s="28" t="str">
        <f t="shared" ca="1" si="73"/>
        <v>No</v>
      </c>
    </row>
    <row r="712" spans="2:11" ht="11.25" hidden="1">
      <c r="B712" s="27">
        <v>710</v>
      </c>
      <c r="C712" s="29">
        <f t="shared" ca="1" si="70"/>
        <v>7.3626632061614072E-2</v>
      </c>
      <c r="D712" s="29">
        <f t="shared" ca="1" si="71"/>
        <v>7.507777065712995E-2</v>
      </c>
      <c r="E712" s="29">
        <f t="shared" ca="1" si="72"/>
        <v>3.3978418827451375E-2</v>
      </c>
      <c r="F712" s="30">
        <f ca="1">'Single Simulation'!$AP$4*Results!C712</f>
        <v>139603.16689029845</v>
      </c>
      <c r="G712" s="30">
        <f ca="1">'Single Simulation'!$AP$5*Results!D712</f>
        <v>71012.218335778351</v>
      </c>
      <c r="H712" s="30">
        <f t="shared" ca="1" si="68"/>
        <v>68590.948554520102</v>
      </c>
      <c r="I712" s="30">
        <f t="shared" ca="1" si="69"/>
        <v>2330.6119777576546</v>
      </c>
      <c r="J712" s="25">
        <f ca="1">'Single Simulation'!$AP$7*Results!E712</f>
        <v>474747.62585454335</v>
      </c>
      <c r="K712" s="28" t="str">
        <f t="shared" ca="1" si="73"/>
        <v>No</v>
      </c>
    </row>
    <row r="713" spans="2:11" ht="11.25" hidden="1">
      <c r="B713" s="27">
        <v>711</v>
      </c>
      <c r="C713" s="24">
        <f t="shared" ca="1" si="70"/>
        <v>5.9068872911407201E-2</v>
      </c>
      <c r="D713" s="24">
        <f t="shared" ca="1" si="71"/>
        <v>6.5730594322350427E-2</v>
      </c>
      <c r="E713" s="24">
        <f t="shared" ca="1" si="72"/>
        <v>7.6492927108122069E-2</v>
      </c>
      <c r="F713" s="25">
        <f ca="1">'Single Simulation'!$AP$4*Results!C713</f>
        <v>112000.25713755609</v>
      </c>
      <c r="G713" s="25">
        <f ca="1">'Single Simulation'!$AP$5*Results!D713</f>
        <v>62171.202934033099</v>
      </c>
      <c r="H713" s="25">
        <f t="shared" ca="1" si="68"/>
        <v>49829.054203522996</v>
      </c>
      <c r="I713" s="25">
        <f t="shared" ca="1" si="69"/>
        <v>3811.5702110567481</v>
      </c>
      <c r="J713" s="25">
        <f ca="1">'Single Simulation'!$AP$7*Results!E713</f>
        <v>1068761.784462631</v>
      </c>
      <c r="K713" s="28" t="str">
        <f t="shared" ca="1" si="73"/>
        <v>No</v>
      </c>
    </row>
    <row r="714" spans="2:11" ht="11.25" hidden="1">
      <c r="B714" s="27">
        <v>712</v>
      </c>
      <c r="C714" s="29">
        <f t="shared" ca="1" si="70"/>
        <v>2.7746075544397848E-2</v>
      </c>
      <c r="D714" s="29">
        <f t="shared" ca="1" si="71"/>
        <v>3.8827366708275114E-2</v>
      </c>
      <c r="E714" s="29">
        <f t="shared" ca="1" si="72"/>
        <v>1.1639500245706084E-2</v>
      </c>
      <c r="F714" s="30">
        <f ca="1">'Single Simulation'!$AP$4*Results!C714</f>
        <v>52609.22449276143</v>
      </c>
      <c r="G714" s="30">
        <f ca="1">'Single Simulation'!$AP$5*Results!D714</f>
        <v>36724.817718458959</v>
      </c>
      <c r="H714" s="30">
        <f t="shared" ca="1" si="68"/>
        <v>15884.406774302472</v>
      </c>
      <c r="I714" s="30">
        <f t="shared" ca="1" si="69"/>
        <v>184.88655655238901</v>
      </c>
      <c r="J714" s="25">
        <f ca="1">'Single Simulation'!$AP$7*Results!E714</f>
        <v>162627.49411158558</v>
      </c>
      <c r="K714" s="28" t="str">
        <f t="shared" ca="1" si="73"/>
        <v>No</v>
      </c>
    </row>
    <row r="715" spans="2:11" ht="11.25" hidden="1">
      <c r="B715" s="27">
        <v>713</v>
      </c>
      <c r="C715" s="24">
        <f t="shared" ca="1" si="70"/>
        <v>8.6468645057047724E-2</v>
      </c>
      <c r="D715" s="24">
        <f t="shared" ca="1" si="71"/>
        <v>3.9109046554824646E-2</v>
      </c>
      <c r="E715" s="24">
        <f t="shared" ca="1" si="72"/>
        <v>6.8768326769306345E-2</v>
      </c>
      <c r="F715" s="25">
        <f ca="1">'Single Simulation'!$AP$4*Results!C715</f>
        <v>163952.85712071156</v>
      </c>
      <c r="G715" s="25">
        <f ca="1">'Single Simulation'!$AP$5*Results!D715</f>
        <v>36991.244259749241</v>
      </c>
      <c r="H715" s="25">
        <f t="shared" ca="1" si="68"/>
        <v>126961.61286096231</v>
      </c>
      <c r="I715" s="25">
        <f t="shared" ca="1" si="69"/>
        <v>8730.9376803808227</v>
      </c>
      <c r="J715" s="25">
        <f ca="1">'Single Simulation'!$AP$7*Results!E715</f>
        <v>960833.40527139034</v>
      </c>
      <c r="K715" s="28" t="str">
        <f t="shared" ca="1" si="73"/>
        <v>No</v>
      </c>
    </row>
    <row r="716" spans="2:11" ht="11.25" hidden="1">
      <c r="B716" s="27">
        <v>714</v>
      </c>
      <c r="C716" s="29">
        <f t="shared" ca="1" si="70"/>
        <v>0.02</v>
      </c>
      <c r="D716" s="29">
        <f t="shared" ca="1" si="71"/>
        <v>4.9096256789439026E-2</v>
      </c>
      <c r="E716" s="29">
        <f t="shared" ca="1" si="72"/>
        <v>2.6875989255659045E-2</v>
      </c>
      <c r="F716" s="30">
        <f ca="1">'Single Simulation'!$AP$4*Results!C716</f>
        <v>37921.921180225181</v>
      </c>
      <c r="G716" s="30">
        <f ca="1">'Single Simulation'!$AP$5*Results!D716</f>
        <v>46437.634949539977</v>
      </c>
      <c r="H716" s="30">
        <f t="shared" ca="1" si="68"/>
        <v>-8515.7137693147961</v>
      </c>
      <c r="I716" s="30">
        <f t="shared" ca="1" si="69"/>
        <v>-228.86823176837225</v>
      </c>
      <c r="J716" s="25">
        <f ca="1">'Single Simulation'!$AP$7*Results!E716</f>
        <v>375512.23782396904</v>
      </c>
      <c r="K716" s="28" t="str">
        <f t="shared" ca="1" si="73"/>
        <v>No</v>
      </c>
    </row>
    <row r="717" spans="2:11" ht="11.25" hidden="1">
      <c r="B717" s="27">
        <v>715</v>
      </c>
      <c r="C717" s="24">
        <f t="shared" ca="1" si="70"/>
        <v>9.0987337044525884E-2</v>
      </c>
      <c r="D717" s="24">
        <f t="shared" ca="1" si="71"/>
        <v>3.0431476574004853E-2</v>
      </c>
      <c r="E717" s="24">
        <f t="shared" ca="1" si="72"/>
        <v>4.7105908094561444E-2</v>
      </c>
      <c r="F717" s="25">
        <f ca="1">'Single Simulation'!$AP$4*Results!C717</f>
        <v>172520.73119005465</v>
      </c>
      <c r="G717" s="25">
        <f ca="1">'Single Simulation'!$AP$5*Results!D717</f>
        <v>28783.575215923538</v>
      </c>
      <c r="H717" s="25">
        <f t="shared" ca="1" si="68"/>
        <v>143737.15597413111</v>
      </c>
      <c r="I717" s="25">
        <f t="shared" ca="1" si="69"/>
        <v>6770.8692590910632</v>
      </c>
      <c r="J717" s="25">
        <f ca="1">'Single Simulation'!$AP$7*Results!E717</f>
        <v>658165.35328441521</v>
      </c>
      <c r="K717" s="28" t="str">
        <f t="shared" ca="1" si="73"/>
        <v>No</v>
      </c>
    </row>
    <row r="718" spans="2:11" ht="11.25" hidden="1">
      <c r="B718" s="27">
        <v>716</v>
      </c>
      <c r="C718" s="29">
        <f t="shared" ca="1" si="70"/>
        <v>5.9172810365678057E-2</v>
      </c>
      <c r="D718" s="29">
        <f t="shared" ca="1" si="71"/>
        <v>7.6465145753448802E-2</v>
      </c>
      <c r="E718" s="29">
        <f t="shared" ca="1" si="72"/>
        <v>5.1901704756428878E-2</v>
      </c>
      <c r="F718" s="30">
        <f ca="1">'Single Simulation'!$AP$4*Results!C718</f>
        <v>112197.33253498274</v>
      </c>
      <c r="G718" s="30">
        <f ca="1">'Single Simulation'!$AP$5*Results!D718</f>
        <v>72324.465388282697</v>
      </c>
      <c r="H718" s="30">
        <f t="shared" ca="1" si="68"/>
        <v>39872.867146700039</v>
      </c>
      <c r="I718" s="30">
        <f t="shared" ca="1" si="69"/>
        <v>2069.4697784403379</v>
      </c>
      <c r="J718" s="25">
        <f ca="1">'Single Simulation'!$AP$7*Results!E718</f>
        <v>725172.38768659509</v>
      </c>
      <c r="K718" s="28" t="str">
        <f t="shared" ca="1" si="73"/>
        <v>No</v>
      </c>
    </row>
    <row r="719" spans="2:11" ht="11.25" hidden="1">
      <c r="B719" s="27">
        <v>717</v>
      </c>
      <c r="C719" s="24">
        <f t="shared" ca="1" si="70"/>
        <v>6.3874335198315785E-2</v>
      </c>
      <c r="D719" s="24">
        <f t="shared" ca="1" si="71"/>
        <v>0.08</v>
      </c>
      <c r="E719" s="24">
        <f t="shared" ca="1" si="72"/>
        <v>6.8629278822811141E-2</v>
      </c>
      <c r="F719" s="25">
        <f ca="1">'Single Simulation'!$AP$4*Results!C719</f>
        <v>121111.87524149069</v>
      </c>
      <c r="G719" s="25">
        <f ca="1">'Single Simulation'!$AP$5*Results!D719</f>
        <v>75667.90299097354</v>
      </c>
      <c r="H719" s="25">
        <f t="shared" ca="1" si="68"/>
        <v>45443.972250517152</v>
      </c>
      <c r="I719" s="25">
        <f t="shared" ca="1" si="69"/>
        <v>3118.7870423968338</v>
      </c>
      <c r="J719" s="25">
        <f ca="1">'Single Simulation'!$AP$7*Results!E719</f>
        <v>958890.62262415257</v>
      </c>
      <c r="K719" s="28" t="str">
        <f t="shared" ca="1" si="73"/>
        <v>No</v>
      </c>
    </row>
    <row r="720" spans="2:11" ht="11.25" hidden="1">
      <c r="B720" s="27">
        <v>718</v>
      </c>
      <c r="C720" s="29">
        <f t="shared" ca="1" si="70"/>
        <v>4.7614575975031881E-2</v>
      </c>
      <c r="D720" s="29">
        <f t="shared" ca="1" si="71"/>
        <v>2.3616836786664451E-2</v>
      </c>
      <c r="E720" s="29">
        <f t="shared" ca="1" si="72"/>
        <v>6.843191646466619E-2</v>
      </c>
      <c r="F720" s="30">
        <f ca="1">'Single Simulation'!$AP$4*Results!C720</f>
        <v>90281.809857750122</v>
      </c>
      <c r="G720" s="30">
        <f ca="1">'Single Simulation'!$AP$5*Results!D720</f>
        <v>22337.956436587261</v>
      </c>
      <c r="H720" s="30">
        <f t="shared" ca="1" si="68"/>
        <v>67943.853421162858</v>
      </c>
      <c r="I720" s="30">
        <f t="shared" ca="1" si="69"/>
        <v>4649.528101604541</v>
      </c>
      <c r="J720" s="25">
        <f ca="1">'Single Simulation'!$AP$7*Results!E720</f>
        <v>956133.06902996742</v>
      </c>
      <c r="K720" s="28" t="str">
        <f t="shared" ca="1" si="73"/>
        <v>No</v>
      </c>
    </row>
    <row r="721" spans="2:11" ht="11.25" hidden="1">
      <c r="B721" s="27">
        <v>719</v>
      </c>
      <c r="C721" s="24">
        <f t="shared" ca="1" si="70"/>
        <v>4.9976573861121462E-2</v>
      </c>
      <c r="D721" s="24">
        <f t="shared" ca="1" si="71"/>
        <v>3.2042268222272324E-2</v>
      </c>
      <c r="E721" s="24">
        <f t="shared" ca="1" si="72"/>
        <v>0.12271206889986169</v>
      </c>
      <c r="F721" s="25">
        <f ca="1">'Single Simulation'!$AP$4*Results!C721</f>
        <v>94760.384740957496</v>
      </c>
      <c r="G721" s="25">
        <f ca="1">'Single Simulation'!$AP$5*Results!D721</f>
        <v>30307.140543170703</v>
      </c>
      <c r="H721" s="25">
        <f t="shared" ca="1" si="68"/>
        <v>64453.244197786793</v>
      </c>
      <c r="I721" s="25">
        <f t="shared" ca="1" si="69"/>
        <v>7909.1909428184235</v>
      </c>
      <c r="J721" s="25">
        <f ca="1">'Single Simulation'!$AP$7*Results!E721</f>
        <v>1714537.2087426882</v>
      </c>
      <c r="K721" s="28" t="str">
        <f t="shared" ca="1" si="73"/>
        <v>No</v>
      </c>
    </row>
    <row r="722" spans="2:11" ht="11.25" hidden="1">
      <c r="B722" s="27">
        <v>720</v>
      </c>
      <c r="C722" s="29">
        <f t="shared" ca="1" si="70"/>
        <v>9.4535200597859748E-2</v>
      </c>
      <c r="D722" s="29">
        <f t="shared" ca="1" si="71"/>
        <v>5.6043451974395635E-2</v>
      </c>
      <c r="E722" s="29">
        <f t="shared" ca="1" si="72"/>
        <v>-1.5904221525293166E-3</v>
      </c>
      <c r="F722" s="30">
        <f ca="1">'Single Simulation'!$AP$4*Results!C722</f>
        <v>179247.82129144066</v>
      </c>
      <c r="G722" s="30">
        <f ca="1">'Single Simulation'!$AP$5*Results!D722</f>
        <v>53008.631090973162</v>
      </c>
      <c r="H722" s="30">
        <f t="shared" ca="1" si="68"/>
        <v>126239.19020046751</v>
      </c>
      <c r="I722" s="30">
        <f t="shared" ca="1" si="69"/>
        <v>-200.77360461218535</v>
      </c>
      <c r="J722" s="25">
        <f ca="1">'Single Simulation'!$AP$7*Results!E722</f>
        <v>-22221.432517329398</v>
      </c>
      <c r="K722" s="28" t="str">
        <f t="shared" ca="1" si="73"/>
        <v>No</v>
      </c>
    </row>
    <row r="723" spans="2:11" ht="11.25" hidden="1">
      <c r="B723" s="27">
        <v>721</v>
      </c>
      <c r="C723" s="24">
        <f t="shared" ca="1" si="70"/>
        <v>6.0572084869446291E-2</v>
      </c>
      <c r="D723" s="24">
        <f t="shared" ca="1" si="71"/>
        <v>2.254218453549266E-2</v>
      </c>
      <c r="E723" s="24">
        <f t="shared" ca="1" si="72"/>
        <v>2.6203105754491376E-2</v>
      </c>
      <c r="F723" s="25">
        <f ca="1">'Single Simulation'!$AP$4*Results!C723</f>
        <v>114850.49140705261</v>
      </c>
      <c r="G723" s="25">
        <f ca="1">'Single Simulation'!$AP$5*Results!D723</f>
        <v>21321.49790795353</v>
      </c>
      <c r="H723" s="25">
        <f t="shared" ca="1" si="68"/>
        <v>93528.993499099088</v>
      </c>
      <c r="I723" s="25">
        <f t="shared" ca="1" si="69"/>
        <v>2450.7501077680299</v>
      </c>
      <c r="J723" s="25">
        <f ca="1">'Single Simulation'!$AP$7*Results!E723</f>
        <v>366110.68661352957</v>
      </c>
      <c r="K723" s="28" t="str">
        <f t="shared" ca="1" si="73"/>
        <v>No</v>
      </c>
    </row>
    <row r="724" spans="2:11" ht="11.25" hidden="1">
      <c r="B724" s="27">
        <v>722</v>
      </c>
      <c r="C724" s="29">
        <f t="shared" ca="1" si="70"/>
        <v>5.0001340285248941E-2</v>
      </c>
      <c r="D724" s="29">
        <f t="shared" ca="1" si="71"/>
        <v>3.3576766453308024E-2</v>
      </c>
      <c r="E724" s="29">
        <f t="shared" ca="1" si="72"/>
        <v>2.9355530230095302E-2</v>
      </c>
      <c r="F724" s="30">
        <f ca="1">'Single Simulation'!$AP$4*Results!C724</f>
        <v>94807.344260141414</v>
      </c>
      <c r="G724" s="30">
        <f ca="1">'Single Simulation'!$AP$5*Results!D724</f>
        <v>31758.543834243577</v>
      </c>
      <c r="H724" s="30">
        <f t="shared" ca="1" si="68"/>
        <v>63048.800425897833</v>
      </c>
      <c r="I724" s="30">
        <f t="shared" ca="1" si="69"/>
        <v>1850.8309668736892</v>
      </c>
      <c r="J724" s="25">
        <f ca="1">'Single Simulation'!$AP$7*Results!E724</f>
        <v>410156.46882248862</v>
      </c>
      <c r="K724" s="28" t="str">
        <f t="shared" ca="1" si="73"/>
        <v>No</v>
      </c>
    </row>
    <row r="725" spans="2:11" ht="11.25" hidden="1">
      <c r="B725" s="27">
        <v>723</v>
      </c>
      <c r="C725" s="24">
        <f t="shared" ca="1" si="70"/>
        <v>6.9868251452920541E-2</v>
      </c>
      <c r="D725" s="24">
        <f t="shared" ca="1" si="71"/>
        <v>5.6421677796184823E-2</v>
      </c>
      <c r="E725" s="24">
        <f t="shared" ca="1" si="72"/>
        <v>5.4814342731771597E-2</v>
      </c>
      <c r="F725" s="25">
        <f ca="1">'Single Simulation'!$AP$4*Results!C725</f>
        <v>132476.91622989031</v>
      </c>
      <c r="G725" s="25">
        <f ca="1">'Single Simulation'!$AP$5*Results!D725</f>
        <v>53366.375525870986</v>
      </c>
      <c r="H725" s="25">
        <f t="shared" ca="1" si="68"/>
        <v>79110.540704019324</v>
      </c>
      <c r="I725" s="25">
        <f t="shared" ca="1" si="69"/>
        <v>4336.3922918458829</v>
      </c>
      <c r="J725" s="25">
        <f ca="1">'Single Simulation'!$AP$7*Results!E725</f>
        <v>765867.86474188976</v>
      </c>
      <c r="K725" s="28" t="str">
        <f t="shared" ca="1" si="73"/>
        <v>No</v>
      </c>
    </row>
    <row r="726" spans="2:11" ht="11.25" hidden="1">
      <c r="B726" s="27">
        <v>724</v>
      </c>
      <c r="C726" s="29">
        <f t="shared" ca="1" si="70"/>
        <v>6.7818974194546647E-2</v>
      </c>
      <c r="D726" s="29">
        <f t="shared" ca="1" si="71"/>
        <v>7.0387148161157542E-2</v>
      </c>
      <c r="E726" s="29">
        <f t="shared" ca="1" si="72"/>
        <v>8.7175698441671459E-2</v>
      </c>
      <c r="F726" s="30">
        <f ca="1">'Single Simulation'!$AP$4*Results!C726</f>
        <v>128591.28969646616</v>
      </c>
      <c r="G726" s="30">
        <f ca="1">'Single Simulation'!$AP$5*Results!D726</f>
        <v>66575.598735871885</v>
      </c>
      <c r="H726" s="30">
        <f t="shared" ca="1" si="68"/>
        <v>62015.690960594278</v>
      </c>
      <c r="I726" s="30">
        <f t="shared" ca="1" si="69"/>
        <v>5406.2611738326577</v>
      </c>
      <c r="J726" s="25">
        <f ca="1">'Single Simulation'!$AP$7*Results!E726</f>
        <v>1218021.8296078793</v>
      </c>
      <c r="K726" s="28" t="str">
        <f t="shared" ca="1" si="73"/>
        <v>No</v>
      </c>
    </row>
    <row r="727" spans="2:11" ht="11.25" hidden="1">
      <c r="B727" s="27">
        <v>725</v>
      </c>
      <c r="C727" s="24">
        <f t="shared" ca="1" si="70"/>
        <v>9.6365695367716553E-2</v>
      </c>
      <c r="D727" s="24">
        <f t="shared" ca="1" si="71"/>
        <v>3.6628691383107509E-2</v>
      </c>
      <c r="E727" s="24">
        <f t="shared" ca="1" si="72"/>
        <v>1.6236715491904488E-2</v>
      </c>
      <c r="F727" s="25">
        <f ca="1">'Single Simulation'!$AP$4*Results!C727</f>
        <v>182718.61521060689</v>
      </c>
      <c r="G727" s="25">
        <f ca="1">'Single Simulation'!$AP$5*Results!D727</f>
        <v>34645.203328291092</v>
      </c>
      <c r="H727" s="25">
        <f t="shared" ca="1" si="68"/>
        <v>148073.41188231579</v>
      </c>
      <c r="I727" s="25">
        <f t="shared" ca="1" si="69"/>
        <v>2404.2258606487508</v>
      </c>
      <c r="J727" s="25">
        <f ca="1">'Single Simulation'!$AP$7*Results!E727</f>
        <v>226859.94220630778</v>
      </c>
      <c r="K727" s="28" t="str">
        <f t="shared" ca="1" si="73"/>
        <v>No</v>
      </c>
    </row>
    <row r="728" spans="2:11" ht="11.25" hidden="1">
      <c r="B728" s="27">
        <v>726</v>
      </c>
      <c r="C728" s="29">
        <f t="shared" ca="1" si="70"/>
        <v>2.9205210260013142E-2</v>
      </c>
      <c r="D728" s="29">
        <f t="shared" ca="1" si="71"/>
        <v>4.4909196323603941E-2</v>
      </c>
      <c r="E728" s="29">
        <f t="shared" ca="1" si="72"/>
        <v>5.9567443848569657E-4</v>
      </c>
      <c r="F728" s="30">
        <f ca="1">'Single Simulation'!$AP$4*Results!C728</f>
        <v>55375.884076606104</v>
      </c>
      <c r="G728" s="30">
        <f ca="1">'Single Simulation'!$AP$5*Results!D728</f>
        <v>42477.308885213104</v>
      </c>
      <c r="H728" s="30">
        <f t="shared" ca="1" si="68"/>
        <v>12898.575191393</v>
      </c>
      <c r="I728" s="30">
        <f t="shared" ca="1" si="69"/>
        <v>7.683351534398561</v>
      </c>
      <c r="J728" s="25">
        <f ca="1">'Single Simulation'!$AP$7*Results!E728</f>
        <v>8322.7835553327986</v>
      </c>
      <c r="K728" s="28" t="str">
        <f t="shared" ca="1" si="73"/>
        <v>No</v>
      </c>
    </row>
    <row r="729" spans="2:11" ht="11.25" hidden="1">
      <c r="B729" s="27">
        <v>727</v>
      </c>
      <c r="C729" s="24">
        <f t="shared" ca="1" si="70"/>
        <v>5.1183433500287312E-2</v>
      </c>
      <c r="D729" s="24">
        <f t="shared" ca="1" si="71"/>
        <v>6.9288818997006216E-2</v>
      </c>
      <c r="E729" s="24">
        <f t="shared" ca="1" si="72"/>
        <v>0.10276656188409553</v>
      </c>
      <c r="F729" s="25">
        <f ca="1">'Single Simulation'!$AP$4*Results!C729</f>
        <v>97048.70654655961</v>
      </c>
      <c r="G729" s="25">
        <f ca="1">'Single Simulation'!$AP$5*Results!D729</f>
        <v>65536.745427807386</v>
      </c>
      <c r="H729" s="25">
        <f t="shared" ca="1" si="68"/>
        <v>31511.961118752224</v>
      </c>
      <c r="I729" s="25">
        <f t="shared" ca="1" si="69"/>
        <v>3238.3759023994626</v>
      </c>
      <c r="J729" s="25">
        <f ca="1">'Single Simulation'!$AP$7*Results!E729</f>
        <v>1435857.9049679639</v>
      </c>
      <c r="K729" s="28" t="str">
        <f t="shared" ca="1" si="73"/>
        <v>No</v>
      </c>
    </row>
    <row r="730" spans="2:11" ht="11.25" hidden="1">
      <c r="B730" s="27">
        <v>728</v>
      </c>
      <c r="C730" s="29">
        <f t="shared" ca="1" si="70"/>
        <v>6.2890955717675584E-2</v>
      </c>
      <c r="D730" s="29">
        <f t="shared" ca="1" si="71"/>
        <v>5.567321617719987E-2</v>
      </c>
      <c r="E730" s="29">
        <f t="shared" ca="1" si="72"/>
        <v>9.7646216282322174E-2</v>
      </c>
      <c r="F730" s="30">
        <f ca="1">'Single Simulation'!$AP$4*Results!C730</f>
        <v>119247.29328373628</v>
      </c>
      <c r="G730" s="30">
        <f ca="1">'Single Simulation'!$AP$5*Results!D730</f>
        <v>52658.444011148225</v>
      </c>
      <c r="H730" s="30">
        <f t="shared" ca="1" si="68"/>
        <v>66588.84927258805</v>
      </c>
      <c r="I730" s="30">
        <f t="shared" ca="1" si="69"/>
        <v>6502.1491780620845</v>
      </c>
      <c r="J730" s="25">
        <f ca="1">'Single Simulation'!$AP$7*Results!E730</f>
        <v>1364316.2617166678</v>
      </c>
      <c r="K730" s="28" t="str">
        <f t="shared" ca="1" si="73"/>
        <v>No</v>
      </c>
    </row>
    <row r="731" spans="2:11" ht="11.25" hidden="1">
      <c r="B731" s="27">
        <v>729</v>
      </c>
      <c r="C731" s="24">
        <f t="shared" ca="1" si="70"/>
        <v>4.0556466521768003E-2</v>
      </c>
      <c r="D731" s="24">
        <f t="shared" ca="1" si="71"/>
        <v>4.2329919843890874E-2</v>
      </c>
      <c r="E731" s="24">
        <f t="shared" ca="1" si="72"/>
        <v>4.5060866177021777E-2</v>
      </c>
      <c r="F731" s="25">
        <f ca="1">'Single Simulation'!$AP$4*Results!C731</f>
        <v>76898.956339346376</v>
      </c>
      <c r="G731" s="25">
        <f ca="1">'Single Simulation'!$AP$5*Results!D731</f>
        <v>40037.703354540252</v>
      </c>
      <c r="H731" s="25">
        <f t="shared" ca="1" si="68"/>
        <v>36861.252984806124</v>
      </c>
      <c r="I731" s="25">
        <f t="shared" ca="1" si="69"/>
        <v>1660.9999878656934</v>
      </c>
      <c r="J731" s="25">
        <f ca="1">'Single Simulation'!$AP$7*Results!E731</f>
        <v>629591.95791674731</v>
      </c>
      <c r="K731" s="28" t="str">
        <f t="shared" ca="1" si="73"/>
        <v>No</v>
      </c>
    </row>
    <row r="732" spans="2:11" ht="11.25" hidden="1">
      <c r="B732" s="27">
        <v>730</v>
      </c>
      <c r="C732" s="29">
        <f t="shared" ca="1" si="70"/>
        <v>5.2809383500265775E-2</v>
      </c>
      <c r="D732" s="29">
        <f t="shared" ca="1" si="71"/>
        <v>5.1706996985162908E-2</v>
      </c>
      <c r="E732" s="29">
        <f t="shared" ca="1" si="72"/>
        <v>7.5258229875688962E-2</v>
      </c>
      <c r="F732" s="30">
        <f ca="1">'Single Simulation'!$AP$4*Results!C732</f>
        <v>100131.66393366814</v>
      </c>
      <c r="G732" s="30">
        <f ca="1">'Single Simulation'!$AP$5*Results!D732</f>
        <v>48907.000397848351</v>
      </c>
      <c r="H732" s="30">
        <f t="shared" ca="1" si="68"/>
        <v>51224.663535819789</v>
      </c>
      <c r="I732" s="30">
        <f t="shared" ca="1" si="69"/>
        <v>3855.077503683548</v>
      </c>
      <c r="J732" s="25">
        <f ca="1">'Single Simulation'!$AP$7*Results!E732</f>
        <v>1051510.5526521259</v>
      </c>
      <c r="K732" s="28" t="str">
        <f t="shared" ca="1" si="73"/>
        <v>No</v>
      </c>
    </row>
    <row r="733" spans="2:11" ht="11.25" hidden="1">
      <c r="B733" s="27">
        <v>731</v>
      </c>
      <c r="C733" s="24">
        <f t="shared" ca="1" si="70"/>
        <v>4.2803423438994889E-2</v>
      </c>
      <c r="D733" s="24">
        <f t="shared" ca="1" si="71"/>
        <v>3.5365922152789393E-2</v>
      </c>
      <c r="E733" s="24">
        <f t="shared" ca="1" si="72"/>
        <v>0.10208372151890818</v>
      </c>
      <c r="F733" s="25">
        <f ca="1">'Single Simulation'!$AP$4*Results!C733</f>
        <v>81159.402494868351</v>
      </c>
      <c r="G733" s="25">
        <f ca="1">'Single Simulation'!$AP$5*Results!D733</f>
        <v>33450.81458304487</v>
      </c>
      <c r="H733" s="25">
        <f t="shared" ca="1" si="68"/>
        <v>47708.587911823481</v>
      </c>
      <c r="I733" s="25">
        <f t="shared" ca="1" si="69"/>
        <v>4870.2702024509372</v>
      </c>
      <c r="J733" s="25">
        <f ca="1">'Single Simulation'!$AP$7*Results!E733</f>
        <v>1426317.236114108</v>
      </c>
      <c r="K733" s="28" t="str">
        <f t="shared" ca="1" si="73"/>
        <v>No</v>
      </c>
    </row>
    <row r="734" spans="2:11" ht="11.25" hidden="1">
      <c r="B734" s="27">
        <v>732</v>
      </c>
      <c r="C734" s="29">
        <f t="shared" ca="1" si="70"/>
        <v>7.7497974724216628E-2</v>
      </c>
      <c r="D734" s="29">
        <f t="shared" ca="1" si="71"/>
        <v>5.0391781926703322E-2</v>
      </c>
      <c r="E734" s="29">
        <f t="shared" ca="1" si="72"/>
        <v>6.4004170606088207E-2</v>
      </c>
      <c r="F734" s="30">
        <f ca="1">'Single Simulation'!$AP$4*Results!C734</f>
        <v>146943.6044559413</v>
      </c>
      <c r="G734" s="30">
        <f ca="1">'Single Simulation'!$AP$5*Results!D734</f>
        <v>47663.005829651003</v>
      </c>
      <c r="H734" s="30">
        <f t="shared" ca="1" si="68"/>
        <v>99280.598626290302</v>
      </c>
      <c r="I734" s="30">
        <f t="shared" ca="1" si="69"/>
        <v>6354.3723723516514</v>
      </c>
      <c r="J734" s="25">
        <f ca="1">'Single Simulation'!$AP$7*Results!E734</f>
        <v>894268.45299465861</v>
      </c>
      <c r="K734" s="28" t="str">
        <f t="shared" ca="1" si="73"/>
        <v>No</v>
      </c>
    </row>
    <row r="735" spans="2:11" ht="11.25" hidden="1">
      <c r="B735" s="27">
        <v>733</v>
      </c>
      <c r="C735" s="24">
        <f t="shared" ca="1" si="70"/>
        <v>6.0507158172024116E-2</v>
      </c>
      <c r="D735" s="24">
        <f t="shared" ca="1" si="71"/>
        <v>5.9068704935724935E-2</v>
      </c>
      <c r="E735" s="24">
        <f t="shared" ca="1" si="72"/>
        <v>6.9428770000355994E-2</v>
      </c>
      <c r="F735" s="25">
        <f ca="1">'Single Simulation'!$AP$4*Results!C735</f>
        <v>114727.38415194581</v>
      </c>
      <c r="G735" s="25">
        <f ca="1">'Single Simulation'!$AP$5*Results!D735</f>
        <v>55870.062935985923</v>
      </c>
      <c r="H735" s="25">
        <f t="shared" ca="1" si="68"/>
        <v>58857.321215959884</v>
      </c>
      <c r="I735" s="25">
        <f t="shared" ca="1" si="69"/>
        <v>4086.3914175399518</v>
      </c>
      <c r="J735" s="25">
        <f ca="1">'Single Simulation'!$AP$7*Results!E735</f>
        <v>970061.14060377167</v>
      </c>
      <c r="K735" s="28" t="str">
        <f t="shared" ca="1" si="73"/>
        <v>No</v>
      </c>
    </row>
    <row r="736" spans="2:11" ht="11.25" hidden="1">
      <c r="B736" s="27">
        <v>734</v>
      </c>
      <c r="C736" s="29">
        <f t="shared" ca="1" si="70"/>
        <v>4.1229180345975516E-2</v>
      </c>
      <c r="D736" s="29">
        <f t="shared" ca="1" si="71"/>
        <v>4.7903480202790165E-2</v>
      </c>
      <c r="E736" s="29">
        <f t="shared" ca="1" si="72"/>
        <v>3.0503488068609558E-2</v>
      </c>
      <c r="F736" s="30">
        <f ca="1">'Single Simulation'!$AP$4*Results!C736</f>
        <v>78174.486370268627</v>
      </c>
      <c r="G736" s="30">
        <f ca="1">'Single Simulation'!$AP$5*Results!D736</f>
        <v>45309.44866143434</v>
      </c>
      <c r="H736" s="30">
        <f t="shared" ca="1" si="68"/>
        <v>32865.037708834287</v>
      </c>
      <c r="I736" s="30">
        <f t="shared" ca="1" si="69"/>
        <v>1002.4982856258299</v>
      </c>
      <c r="J736" s="25">
        <f ca="1">'Single Simulation'!$AP$7*Results!E736</f>
        <v>426195.77486504806</v>
      </c>
      <c r="K736" s="28" t="str">
        <f t="shared" ca="1" si="73"/>
        <v>No</v>
      </c>
    </row>
    <row r="737" spans="2:11" ht="11.25" hidden="1">
      <c r="B737" s="27">
        <v>735</v>
      </c>
      <c r="C737" s="24">
        <f t="shared" ca="1" si="70"/>
        <v>3.540517545160729E-2</v>
      </c>
      <c r="D737" s="24">
        <f t="shared" ca="1" si="71"/>
        <v>5.0687269409154974E-2</v>
      </c>
      <c r="E737" s="24">
        <f t="shared" ca="1" si="72"/>
        <v>0.10870964049234869</v>
      </c>
      <c r="F737" s="25">
        <f ca="1">'Single Simulation'!$AP$4*Results!C737</f>
        <v>67131.613642394746</v>
      </c>
      <c r="G737" s="25">
        <f ca="1">'Single Simulation'!$AP$5*Results!D737</f>
        <v>47942.49230661599</v>
      </c>
      <c r="H737" s="25">
        <f t="shared" ca="1" si="68"/>
        <v>19189.121335778756</v>
      </c>
      <c r="I737" s="25">
        <f t="shared" ca="1" si="69"/>
        <v>2086.0424817765665</v>
      </c>
      <c r="J737" s="25">
        <f ca="1">'Single Simulation'!$AP$7*Results!E737</f>
        <v>1518894.8018248489</v>
      </c>
      <c r="K737" s="28" t="str">
        <f t="shared" ca="1" si="73"/>
        <v>No</v>
      </c>
    </row>
    <row r="738" spans="2:11" ht="11.25" hidden="1">
      <c r="B738" s="27">
        <v>736</v>
      </c>
      <c r="C738" s="29">
        <f t="shared" ca="1" si="70"/>
        <v>5.1739821881899767E-2</v>
      </c>
      <c r="D738" s="29">
        <f t="shared" ca="1" si="71"/>
        <v>5.1783257835589833E-2</v>
      </c>
      <c r="E738" s="29">
        <f t="shared" ca="1" si="72"/>
        <v>0.10259829411163637</v>
      </c>
      <c r="F738" s="30">
        <f ca="1">'Single Simulation'!$AP$4*Results!C738</f>
        <v>98103.672364214639</v>
      </c>
      <c r="G738" s="30">
        <f ca="1">'Single Simulation'!$AP$5*Results!D738</f>
        <v>48979.131630749769</v>
      </c>
      <c r="H738" s="30">
        <f t="shared" ca="1" si="68"/>
        <v>49124.54073346487</v>
      </c>
      <c r="I738" s="30">
        <f t="shared" ca="1" si="69"/>
        <v>5040.0940782710895</v>
      </c>
      <c r="J738" s="25">
        <f ca="1">'Single Simulation'!$AP$7*Results!E738</f>
        <v>1433506.8619165353</v>
      </c>
      <c r="K738" s="28" t="str">
        <f t="shared" ca="1" si="73"/>
        <v>No</v>
      </c>
    </row>
    <row r="739" spans="2:11" ht="11.25" hidden="1">
      <c r="B739" s="27">
        <v>737</v>
      </c>
      <c r="C739" s="24">
        <f t="shared" ca="1" si="70"/>
        <v>3.2633594129793886E-2</v>
      </c>
      <c r="D739" s="24">
        <f t="shared" ca="1" si="71"/>
        <v>4.6662405609613218E-2</v>
      </c>
      <c r="E739" s="24">
        <f t="shared" ca="1" si="72"/>
        <v>7.1031207029094587E-2</v>
      </c>
      <c r="F739" s="25">
        <f ca="1">'Single Simulation'!$AP$4*Results!C739</f>
        <v>61876.429220875136</v>
      </c>
      <c r="G739" s="25">
        <f ca="1">'Single Simulation'!$AP$5*Results!D739</f>
        <v>44135.579762420901</v>
      </c>
      <c r="H739" s="25">
        <f t="shared" ca="1" si="68"/>
        <v>17740.849458454235</v>
      </c>
      <c r="I739" s="25">
        <f t="shared" ca="1" si="69"/>
        <v>1260.1539507554633</v>
      </c>
      <c r="J739" s="25">
        <f ca="1">'Single Simulation'!$AP$7*Results!E739</f>
        <v>992450.44538096862</v>
      </c>
      <c r="K739" s="28" t="str">
        <f t="shared" ca="1" si="73"/>
        <v>No</v>
      </c>
    </row>
    <row r="740" spans="2:11" ht="11.25" hidden="1">
      <c r="B740" s="27">
        <v>738</v>
      </c>
      <c r="C740" s="29">
        <f t="shared" ca="1" si="70"/>
        <v>2.4860210662574031E-2</v>
      </c>
      <c r="D740" s="29">
        <f t="shared" ca="1" si="71"/>
        <v>2.2758506808709403E-2</v>
      </c>
      <c r="E740" s="29">
        <f t="shared" ca="1" si="72"/>
        <v>5.2963857580847991E-2</v>
      </c>
      <c r="F740" s="30">
        <f ca="1">'Single Simulation'!$AP$4*Results!C740</f>
        <v>47137.347463496299</v>
      </c>
      <c r="G740" s="30">
        <f ca="1">'Single Simulation'!$AP$5*Results!D740</f>
        <v>21526.106067760422</v>
      </c>
      <c r="H740" s="30">
        <f t="shared" ca="1" si="68"/>
        <v>25611.241395735877</v>
      </c>
      <c r="I740" s="30">
        <f t="shared" ca="1" si="69"/>
        <v>1356.4701417524734</v>
      </c>
      <c r="J740" s="25">
        <f ca="1">'Single Simulation'!$AP$7*Results!E740</f>
        <v>740012.82314794976</v>
      </c>
      <c r="K740" s="28" t="str">
        <f t="shared" ca="1" si="73"/>
        <v>No</v>
      </c>
    </row>
    <row r="741" spans="2:11" ht="11.25" hidden="1">
      <c r="B741" s="27">
        <v>739</v>
      </c>
      <c r="C741" s="24">
        <f t="shared" ca="1" si="70"/>
        <v>7.4418105348551852E-2</v>
      </c>
      <c r="D741" s="24">
        <f t="shared" ca="1" si="71"/>
        <v>4.5785972938614077E-2</v>
      </c>
      <c r="E741" s="24">
        <f t="shared" ca="1" si="72"/>
        <v>8.2312831205639522E-2</v>
      </c>
      <c r="F741" s="25">
        <f ca="1">'Single Simulation'!$AP$4*Results!C741</f>
        <v>141103.87627047385</v>
      </c>
      <c r="G741" s="25">
        <f ca="1">'Single Simulation'!$AP$5*Results!D741</f>
        <v>43306.606983329868</v>
      </c>
      <c r="H741" s="25">
        <f t="shared" ca="1" si="68"/>
        <v>97797.269287143979</v>
      </c>
      <c r="I741" s="25">
        <f t="shared" ca="1" si="69"/>
        <v>8049.9701192051562</v>
      </c>
      <c r="J741" s="25">
        <f ca="1">'Single Simulation'!$AP$7*Results!E741</f>
        <v>1150077.6828576825</v>
      </c>
      <c r="K741" s="28" t="str">
        <f t="shared" ca="1" si="73"/>
        <v>No</v>
      </c>
    </row>
    <row r="742" spans="2:11" ht="11.25" hidden="1">
      <c r="B742" s="27">
        <v>740</v>
      </c>
      <c r="C742" s="29">
        <f t="shared" ca="1" si="70"/>
        <v>8.5848424175411497E-2</v>
      </c>
      <c r="D742" s="29">
        <f t="shared" ca="1" si="71"/>
        <v>4.3375936198881977E-2</v>
      </c>
      <c r="E742" s="29">
        <f t="shared" ca="1" si="72"/>
        <v>2.1609970277233173E-2</v>
      </c>
      <c r="F742" s="30">
        <f ca="1">'Single Simulation'!$AP$4*Results!C742</f>
        <v>162776.85875132462</v>
      </c>
      <c r="G742" s="30">
        <f ca="1">'Single Simulation'!$AP$5*Results!D742</f>
        <v>41027.076655495737</v>
      </c>
      <c r="H742" s="30">
        <f t="shared" ca="1" si="68"/>
        <v>121749.78209582888</v>
      </c>
      <c r="I742" s="30">
        <f t="shared" ca="1" si="69"/>
        <v>2631.0091723504775</v>
      </c>
      <c r="J742" s="25">
        <f ca="1">'Single Simulation'!$AP$7*Results!E742</f>
        <v>301935.24118947994</v>
      </c>
      <c r="K742" s="28" t="str">
        <f t="shared" ca="1" si="73"/>
        <v>No</v>
      </c>
    </row>
    <row r="743" spans="2:11" ht="11.25" hidden="1">
      <c r="B743" s="27">
        <v>741</v>
      </c>
      <c r="C743" s="24">
        <f t="shared" ca="1" si="70"/>
        <v>8.6204907931641955E-2</v>
      </c>
      <c r="D743" s="24">
        <f t="shared" ca="1" si="71"/>
        <v>5.1344804992048951E-2</v>
      </c>
      <c r="E743" s="24">
        <f t="shared" ca="1" si="72"/>
        <v>0.17462251072543578</v>
      </c>
      <c r="F743" s="25">
        <f ca="1">'Single Simulation'!$AP$4*Results!C743</f>
        <v>163452.78619661473</v>
      </c>
      <c r="G743" s="25">
        <f ca="1">'Single Simulation'!$AP$5*Results!D743</f>
        <v>48564.42154036017</v>
      </c>
      <c r="H743" s="25">
        <f t="shared" ca="1" si="68"/>
        <v>114888.36465625456</v>
      </c>
      <c r="I743" s="25">
        <f t="shared" ca="1" si="69"/>
        <v>20062.094689414589</v>
      </c>
      <c r="J743" s="25">
        <f ca="1">'Single Simulation'!$AP$7*Results!E743</f>
        <v>2439831.6710571428</v>
      </c>
      <c r="K743" s="28" t="str">
        <f t="shared" ca="1" si="73"/>
        <v>No</v>
      </c>
    </row>
    <row r="744" spans="2:11" ht="11.25" hidden="1">
      <c r="B744" s="27">
        <v>742</v>
      </c>
      <c r="C744" s="29">
        <f t="shared" ca="1" si="70"/>
        <v>7.1157166559400784E-2</v>
      </c>
      <c r="D744" s="29">
        <f t="shared" ca="1" si="71"/>
        <v>3.3773387426129176E-2</v>
      </c>
      <c r="E744" s="29">
        <f t="shared" ca="1" si="72"/>
        <v>7.7329117400909836E-2</v>
      </c>
      <c r="F744" s="30">
        <f ca="1">'Single Simulation'!$AP$4*Results!C744</f>
        <v>134920.82308368757</v>
      </c>
      <c r="G744" s="30">
        <f ca="1">'Single Simulation'!$AP$5*Results!D744</f>
        <v>31944.517542961348</v>
      </c>
      <c r="H744" s="30">
        <f t="shared" ca="1" si="68"/>
        <v>102976.30554072623</v>
      </c>
      <c r="I744" s="30">
        <f t="shared" ca="1" si="69"/>
        <v>7963.0668206707805</v>
      </c>
      <c r="J744" s="25">
        <f ca="1">'Single Simulation'!$AP$7*Results!E744</f>
        <v>1080445.0637311439</v>
      </c>
      <c r="K744" s="28" t="str">
        <f t="shared" ca="1" si="73"/>
        <v>No</v>
      </c>
    </row>
    <row r="745" spans="2:11" ht="11.25" hidden="1">
      <c r="B745" s="27">
        <v>743</v>
      </c>
      <c r="C745" s="24">
        <f t="shared" ca="1" si="70"/>
        <v>7.0416142494151956E-2</v>
      </c>
      <c r="D745" s="24">
        <f t="shared" ca="1" si="71"/>
        <v>4.3028621757902653E-2</v>
      </c>
      <c r="E745" s="24">
        <f t="shared" ca="1" si="72"/>
        <v>4.9639019213370536E-2</v>
      </c>
      <c r="F745" s="25">
        <f ca="1">'Single Simulation'!$AP$4*Results!C745</f>
        <v>133515.77027393677</v>
      </c>
      <c r="G745" s="25">
        <f ca="1">'Single Simulation'!$AP$5*Results!D745</f>
        <v>40698.569712653392</v>
      </c>
      <c r="H745" s="25">
        <f t="shared" ca="1" si="68"/>
        <v>92817.200561283375</v>
      </c>
      <c r="I745" s="25">
        <f t="shared" ca="1" si="69"/>
        <v>4607.3548019928121</v>
      </c>
      <c r="J745" s="25">
        <f ca="1">'Single Simulation'!$AP$7*Results!E745</f>
        <v>693558.06816580298</v>
      </c>
      <c r="K745" s="28" t="str">
        <f t="shared" ca="1" si="73"/>
        <v>No</v>
      </c>
    </row>
    <row r="746" spans="2:11" ht="11.25" hidden="1">
      <c r="B746" s="27">
        <v>744</v>
      </c>
      <c r="C746" s="29">
        <f t="shared" ca="1" si="70"/>
        <v>7.4170462617877103E-2</v>
      </c>
      <c r="D746" s="29">
        <f t="shared" ca="1" si="71"/>
        <v>5.4345902304317524E-2</v>
      </c>
      <c r="E746" s="29">
        <f t="shared" ca="1" si="72"/>
        <v>-3.7822625776196411E-2</v>
      </c>
      <c r="F746" s="30">
        <f ca="1">'Single Simulation'!$AP$4*Results!C746</f>
        <v>140634.32186479867</v>
      </c>
      <c r="G746" s="30">
        <f ca="1">'Single Simulation'!$AP$5*Results!D746</f>
        <v>51403.005794000295</v>
      </c>
      <c r="H746" s="30">
        <f t="shared" ca="1" si="68"/>
        <v>89231.316070798377</v>
      </c>
      <c r="I746" s="30">
        <f t="shared" ca="1" si="69"/>
        <v>-3374.9626752633076</v>
      </c>
      <c r="J746" s="25">
        <f ca="1">'Single Simulation'!$AP$7*Results!E746</f>
        <v>-528459.01635443885</v>
      </c>
      <c r="K746" s="28" t="str">
        <f t="shared" ca="1" si="73"/>
        <v>No</v>
      </c>
    </row>
    <row r="747" spans="2:11" ht="11.25" hidden="1">
      <c r="B747" s="27">
        <v>745</v>
      </c>
      <c r="C747" s="24">
        <f t="shared" ca="1" si="70"/>
        <v>7.2697948350685396E-2</v>
      </c>
      <c r="D747" s="24">
        <f t="shared" ca="1" si="71"/>
        <v>4.6224084680761529E-2</v>
      </c>
      <c r="E747" s="24">
        <f t="shared" ca="1" si="72"/>
        <v>3.7229451461626935E-2</v>
      </c>
      <c r="F747" s="25">
        <f ca="1">'Single Simulation'!$AP$4*Results!C747</f>
        <v>137842.29336593862</v>
      </c>
      <c r="G747" s="25">
        <f ca="1">'Single Simulation'!$AP$5*Results!D747</f>
        <v>43720.994443380114</v>
      </c>
      <c r="H747" s="25">
        <f t="shared" ca="1" si="68"/>
        <v>94121.298922558504</v>
      </c>
      <c r="I747" s="25">
        <f t="shared" ca="1" si="69"/>
        <v>3504.0843297426713</v>
      </c>
      <c r="J747" s="25">
        <f ca="1">'Single Simulation'!$AP$7*Results!E747</f>
        <v>520171.16461566871</v>
      </c>
      <c r="K747" s="28" t="str">
        <f t="shared" ca="1" si="73"/>
        <v>No</v>
      </c>
    </row>
    <row r="748" spans="2:11" ht="11.25" hidden="1">
      <c r="B748" s="27">
        <v>746</v>
      </c>
      <c r="C748" s="29">
        <f t="shared" ca="1" si="70"/>
        <v>8.6527125970416147E-2</v>
      </c>
      <c r="D748" s="29">
        <f t="shared" ca="1" si="71"/>
        <v>5.9209989496039624E-2</v>
      </c>
      <c r="E748" s="29">
        <f t="shared" ca="1" si="72"/>
        <v>8.122432055397405E-2</v>
      </c>
      <c r="F748" s="30">
        <f ca="1">'Single Simulation'!$AP$4*Results!C748</f>
        <v>164063.7425500768</v>
      </c>
      <c r="G748" s="30">
        <f ca="1">'Single Simulation'!$AP$5*Results!D748</f>
        <v>56003.696766036104</v>
      </c>
      <c r="H748" s="30">
        <f t="shared" ca="1" si="68"/>
        <v>108060.0457840407</v>
      </c>
      <c r="I748" s="30">
        <f t="shared" ca="1" si="69"/>
        <v>8777.1037978400345</v>
      </c>
      <c r="J748" s="25">
        <f ca="1">'Single Simulation'!$AP$7*Results!E748</f>
        <v>1134868.974935757</v>
      </c>
      <c r="K748" s="28" t="str">
        <f t="shared" ca="1" si="73"/>
        <v>No</v>
      </c>
    </row>
    <row r="749" spans="2:11" ht="11.25" hidden="1">
      <c r="B749" s="27">
        <v>747</v>
      </c>
      <c r="C749" s="24">
        <f t="shared" ca="1" si="70"/>
        <v>7.8220839479511126E-2</v>
      </c>
      <c r="D749" s="24">
        <f t="shared" ca="1" si="71"/>
        <v>5.229202585934694E-2</v>
      </c>
      <c r="E749" s="24">
        <f t="shared" ca="1" si="72"/>
        <v>5.5365747786731534E-2</v>
      </c>
      <c r="F749" s="25">
        <f ca="1">'Single Simulation'!$AP$4*Results!C749</f>
        <v>148314.22546965335</v>
      </c>
      <c r="G749" s="25">
        <f ca="1">'Single Simulation'!$AP$5*Results!D749</f>
        <v>49460.349249081795</v>
      </c>
      <c r="H749" s="25">
        <f t="shared" ca="1" si="68"/>
        <v>98853.876220571547</v>
      </c>
      <c r="I749" s="25">
        <f t="shared" ca="1" si="69"/>
        <v>5473.1187785689417</v>
      </c>
      <c r="J749" s="25">
        <f ca="1">'Single Simulation'!$AP$7*Results!E749</f>
        <v>773572.11496188329</v>
      </c>
      <c r="K749" s="28" t="str">
        <f t="shared" ca="1" si="73"/>
        <v>No</v>
      </c>
    </row>
    <row r="750" spans="2:11" ht="11.25" hidden="1">
      <c r="B750" s="27">
        <v>748</v>
      </c>
      <c r="C750" s="29">
        <f t="shared" ca="1" si="70"/>
        <v>6.0935239709309925E-2</v>
      </c>
      <c r="D750" s="29">
        <f t="shared" ca="1" si="71"/>
        <v>0.08</v>
      </c>
      <c r="E750" s="29">
        <f t="shared" ca="1" si="72"/>
        <v>7.5101257512709005E-2</v>
      </c>
      <c r="F750" s="30">
        <f ca="1">'Single Simulation'!$AP$4*Results!C750</f>
        <v>115539.06786772893</v>
      </c>
      <c r="G750" s="30">
        <f ca="1">'Single Simulation'!$AP$5*Results!D750</f>
        <v>75667.90299097354</v>
      </c>
      <c r="H750" s="30">
        <f t="shared" ca="1" si="68"/>
        <v>39871.164876755385</v>
      </c>
      <c r="I750" s="30">
        <f t="shared" ca="1" si="69"/>
        <v>2994.3746207408849</v>
      </c>
      <c r="J750" s="25">
        <f ca="1">'Single Simulation'!$AP$7*Results!E750</f>
        <v>1049317.3294468925</v>
      </c>
      <c r="K750" s="28" t="str">
        <f t="shared" ca="1" si="73"/>
        <v>No</v>
      </c>
    </row>
    <row r="751" spans="2:11" ht="11.25" hidden="1">
      <c r="B751" s="27">
        <v>749</v>
      </c>
      <c r="C751" s="24">
        <f t="shared" ca="1" si="70"/>
        <v>6.5726235117681928E-2</v>
      </c>
      <c r="D751" s="24">
        <f t="shared" ca="1" si="71"/>
        <v>6.4522025718349973E-2</v>
      </c>
      <c r="E751" s="24">
        <f t="shared" ca="1" si="72"/>
        <v>7.824675264748282E-2</v>
      </c>
      <c r="F751" s="25">
        <f ca="1">'Single Simulation'!$AP$4*Results!C751</f>
        <v>124623.25538028411</v>
      </c>
      <c r="G751" s="25">
        <f ca="1">'Single Simulation'!$AP$5*Results!D751</f>
        <v>61028.079785465066</v>
      </c>
      <c r="H751" s="25">
        <f t="shared" ca="1" si="68"/>
        <v>63595.175594819048</v>
      </c>
      <c r="I751" s="25">
        <f t="shared" ca="1" si="69"/>
        <v>4976.1159743410417</v>
      </c>
      <c r="J751" s="25">
        <f ca="1">'Single Simulation'!$AP$7*Results!E751</f>
        <v>1093266.2946696186</v>
      </c>
      <c r="K751" s="28" t="str">
        <f t="shared" ca="1" si="73"/>
        <v>No</v>
      </c>
    </row>
    <row r="752" spans="2:11" ht="11.25" hidden="1">
      <c r="B752" s="27">
        <v>750</v>
      </c>
      <c r="C752" s="29">
        <f t="shared" ca="1" si="70"/>
        <v>8.0448883167787089E-2</v>
      </c>
      <c r="D752" s="29">
        <f t="shared" ca="1" si="71"/>
        <v>0.08</v>
      </c>
      <c r="E752" s="29">
        <f t="shared" ca="1" si="72"/>
        <v>3.20650278119421E-2</v>
      </c>
      <c r="F752" s="30">
        <f ca="1">'Single Simulation'!$AP$4*Results!C752</f>
        <v>152538.81032629829</v>
      </c>
      <c r="G752" s="30">
        <f ca="1">'Single Simulation'!$AP$5*Results!D752</f>
        <v>75667.90299097354</v>
      </c>
      <c r="H752" s="30">
        <f t="shared" ca="1" si="68"/>
        <v>76870.907335324751</v>
      </c>
      <c r="I752" s="30">
        <f t="shared" ca="1" si="69"/>
        <v>2464.867781636412</v>
      </c>
      <c r="J752" s="25">
        <f ca="1">'Single Simulation'!$AP$7*Results!E752</f>
        <v>448013.66137675667</v>
      </c>
      <c r="K752" s="28" t="str">
        <f t="shared" ca="1" si="73"/>
        <v>No</v>
      </c>
    </row>
    <row r="753" spans="2:11" ht="11.25" hidden="1">
      <c r="B753" s="27">
        <v>751</v>
      </c>
      <c r="C753" s="24">
        <f t="shared" ca="1" si="70"/>
        <v>8.9131658283678805E-2</v>
      </c>
      <c r="D753" s="24">
        <f t="shared" ca="1" si="71"/>
        <v>7.1809948232831183E-2</v>
      </c>
      <c r="E753" s="24">
        <f t="shared" ca="1" si="72"/>
        <v>2.4875586405928976E-2</v>
      </c>
      <c r="F753" s="25">
        <f ca="1">'Single Simulation'!$AP$4*Results!C753</f>
        <v>169002.18600482162</v>
      </c>
      <c r="G753" s="25">
        <f ca="1">'Single Simulation'!$AP$5*Results!D753</f>
        <v>67921.352458358771</v>
      </c>
      <c r="H753" s="25">
        <f t="shared" ca="1" si="68"/>
        <v>101080.83354646285</v>
      </c>
      <c r="I753" s="25">
        <f t="shared" ca="1" si="69"/>
        <v>2514.4450088683607</v>
      </c>
      <c r="J753" s="25">
        <f ca="1">'Single Simulation'!$AP$7*Results!E753</f>
        <v>347562.54103305313</v>
      </c>
      <c r="K753" s="28" t="str">
        <f t="shared" ca="1" si="73"/>
        <v>No</v>
      </c>
    </row>
    <row r="754" spans="2:11" ht="11.25" hidden="1">
      <c r="B754" s="27">
        <v>752</v>
      </c>
      <c r="C754" s="29">
        <f t="shared" ca="1" si="70"/>
        <v>5.8839246968053635E-2</v>
      </c>
      <c r="D754" s="29">
        <f t="shared" ca="1" si="71"/>
        <v>5.140360629035097E-2</v>
      </c>
      <c r="E754" s="29">
        <f t="shared" ca="1" si="72"/>
        <v>0.13498893749735891</v>
      </c>
      <c r="F754" s="30">
        <f ca="1">'Single Simulation'!$AP$4*Results!C754</f>
        <v>111564.86429131665</v>
      </c>
      <c r="G754" s="30">
        <f ca="1">'Single Simulation'!$AP$5*Results!D754</f>
        <v>48620.038677055927</v>
      </c>
      <c r="H754" s="30">
        <f t="shared" ca="1" si="68"/>
        <v>62944.825614260728</v>
      </c>
      <c r="I754" s="30">
        <f t="shared" ca="1" si="69"/>
        <v>8496.8551306255977</v>
      </c>
      <c r="J754" s="25">
        <f ca="1">'Single Simulation'!$AP$7*Results!E754</f>
        <v>1886070.0351872544</v>
      </c>
      <c r="K754" s="28" t="str">
        <f t="shared" ca="1" si="73"/>
        <v>No</v>
      </c>
    </row>
    <row r="755" spans="2:11" ht="11.25" hidden="1">
      <c r="B755" s="27">
        <v>753</v>
      </c>
      <c r="C755" s="24">
        <f t="shared" ca="1" si="70"/>
        <v>7.6238613852919607E-2</v>
      </c>
      <c r="D755" s="24">
        <f t="shared" ca="1" si="71"/>
        <v>4.6720326254161136E-2</v>
      </c>
      <c r="E755" s="24">
        <f t="shared" ca="1" si="72"/>
        <v>2.5945797343503496E-2</v>
      </c>
      <c r="F755" s="25">
        <f ca="1">'Single Simulation'!$AP$4*Results!C755</f>
        <v>144555.73527100202</v>
      </c>
      <c r="G755" s="25">
        <f ca="1">'Single Simulation'!$AP$5*Results!D755</f>
        <v>44190.363933831235</v>
      </c>
      <c r="H755" s="25">
        <f t="shared" ref="H755:H818" ca="1" si="74">F755-G755</f>
        <v>100365.37133717079</v>
      </c>
      <c r="I755" s="25">
        <f t="shared" ref="I755:I818" ca="1" si="75">H755*E755</f>
        <v>2604.0595850197078</v>
      </c>
      <c r="J755" s="25">
        <f ca="1">'Single Simulation'!$AP$7*Results!E755</f>
        <v>362515.56472603872</v>
      </c>
      <c r="K755" s="28" t="str">
        <f t="shared" ca="1" si="73"/>
        <v>No</v>
      </c>
    </row>
    <row r="756" spans="2:11" ht="11.25" hidden="1">
      <c r="B756" s="27">
        <v>754</v>
      </c>
      <c r="C756" s="29">
        <f t="shared" ca="1" si="70"/>
        <v>4.8859026834973673E-2</v>
      </c>
      <c r="D756" s="29">
        <f t="shared" ca="1" si="71"/>
        <v>7.3633349131744838E-2</v>
      </c>
      <c r="E756" s="29">
        <f t="shared" ca="1" si="72"/>
        <v>0.11958199959010957</v>
      </c>
      <c r="F756" s="30">
        <f ca="1">'Single Simulation'!$AP$4*Results!C756</f>
        <v>92641.408228918925</v>
      </c>
      <c r="G756" s="30">
        <f ca="1">'Single Simulation'!$AP$5*Results!D756</f>
        <v>69646.013987516926</v>
      </c>
      <c r="H756" s="30">
        <f t="shared" ca="1" si="74"/>
        <v>22995.394241401998</v>
      </c>
      <c r="I756" s="30">
        <f t="shared" ca="1" si="75"/>
        <v>2749.8352247497419</v>
      </c>
      <c r="J756" s="25">
        <f ca="1">'Single Simulation'!$AP$7*Results!E756</f>
        <v>1670803.7736728829</v>
      </c>
      <c r="K756" s="28" t="str">
        <f t="shared" ca="1" si="73"/>
        <v>No</v>
      </c>
    </row>
    <row r="757" spans="2:11" ht="11.25" hidden="1">
      <c r="B757" s="27">
        <v>755</v>
      </c>
      <c r="C757" s="24">
        <f t="shared" ca="1" si="70"/>
        <v>8.302938702701021E-2</v>
      </c>
      <c r="D757" s="24">
        <f t="shared" ca="1" si="71"/>
        <v>0.08</v>
      </c>
      <c r="E757" s="24">
        <f t="shared" ca="1" si="72"/>
        <v>0.12959037296053014</v>
      </c>
      <c r="F757" s="25">
        <f ca="1">'Single Simulation'!$AP$4*Results!C757</f>
        <v>157431.69352403461</v>
      </c>
      <c r="G757" s="25">
        <f ca="1">'Single Simulation'!$AP$5*Results!D757</f>
        <v>75667.90299097354</v>
      </c>
      <c r="H757" s="25">
        <f t="shared" ca="1" si="74"/>
        <v>81763.790533061067</v>
      </c>
      <c r="I757" s="25">
        <f t="shared" ca="1" si="75"/>
        <v>10595.800109846046</v>
      </c>
      <c r="J757" s="25">
        <f ca="1">'Single Simulation'!$AP$7*Results!E757</f>
        <v>1810641.107493557</v>
      </c>
      <c r="K757" s="28" t="str">
        <f t="shared" ca="1" si="73"/>
        <v>No</v>
      </c>
    </row>
    <row r="758" spans="2:11" ht="11.25" hidden="1">
      <c r="B758" s="27">
        <v>756</v>
      </c>
      <c r="C758" s="29">
        <f t="shared" ca="1" si="70"/>
        <v>3.8890581737136262E-2</v>
      </c>
      <c r="D758" s="29">
        <f t="shared" ca="1" si="71"/>
        <v>3.8268697693420999E-2</v>
      </c>
      <c r="E758" s="29">
        <f t="shared" ca="1" si="72"/>
        <v>1.807412448107542E-2</v>
      </c>
      <c r="F758" s="30">
        <f ca="1">'Single Simulation'!$AP$4*Results!C758</f>
        <v>73740.27876443931</v>
      </c>
      <c r="G758" s="30">
        <f ca="1">'Single Simulation'!$AP$5*Results!D758</f>
        <v>36196.401308208413</v>
      </c>
      <c r="H758" s="30">
        <f t="shared" ca="1" si="74"/>
        <v>37543.877456230897</v>
      </c>
      <c r="I758" s="30">
        <f t="shared" ca="1" si="75"/>
        <v>678.57271464615837</v>
      </c>
      <c r="J758" s="25">
        <f ca="1">'Single Simulation'!$AP$7*Results!E758</f>
        <v>252532.28322259884</v>
      </c>
      <c r="K758" s="28" t="str">
        <f t="shared" ca="1" si="73"/>
        <v>No</v>
      </c>
    </row>
    <row r="759" spans="2:11" ht="11.25" hidden="1">
      <c r="B759" s="27">
        <v>757</v>
      </c>
      <c r="C759" s="24">
        <f t="shared" ca="1" si="70"/>
        <v>5.1388659617606997E-2</v>
      </c>
      <c r="D759" s="24">
        <f t="shared" ca="1" si="71"/>
        <v>3.267429676927415E-2</v>
      </c>
      <c r="E759" s="24">
        <f t="shared" ca="1" si="72"/>
        <v>7.8744066713423572E-3</v>
      </c>
      <c r="F759" s="25">
        <f ca="1">'Single Simulation'!$AP$4*Results!C759</f>
        <v>97437.834978815648</v>
      </c>
      <c r="G759" s="25">
        <f ca="1">'Single Simulation'!$AP$5*Results!D759</f>
        <v>30904.943977946456</v>
      </c>
      <c r="H759" s="25">
        <f t="shared" ca="1" si="74"/>
        <v>66532.891000869189</v>
      </c>
      <c r="I759" s="25">
        <f t="shared" ca="1" si="75"/>
        <v>523.90704076093823</v>
      </c>
      <c r="J759" s="25">
        <f ca="1">'Single Simulation'!$AP$7*Results!E759</f>
        <v>110021.47837475946</v>
      </c>
      <c r="K759" s="28" t="str">
        <f t="shared" ca="1" si="73"/>
        <v>No</v>
      </c>
    </row>
    <row r="760" spans="2:11" ht="11.25" hidden="1">
      <c r="B760" s="27">
        <v>758</v>
      </c>
      <c r="C760" s="29">
        <f t="shared" ca="1" si="70"/>
        <v>7.5548989741187414E-2</v>
      </c>
      <c r="D760" s="29">
        <f t="shared" ca="1" si="71"/>
        <v>7.0817835678040258E-2</v>
      </c>
      <c r="E760" s="29">
        <f t="shared" ca="1" si="72"/>
        <v>7.2763951080100253E-2</v>
      </c>
      <c r="F760" s="30">
        <f ca="1">'Single Simulation'!$AP$4*Results!C760</f>
        <v>143248.14171054747</v>
      </c>
      <c r="G760" s="30">
        <f ca="1">'Single Simulation'!$AP$5*Results!D760</f>
        <v>66982.964001458182</v>
      </c>
      <c r="H760" s="30">
        <f t="shared" ca="1" si="74"/>
        <v>76265.177709089287</v>
      </c>
      <c r="I760" s="30">
        <f t="shared" ca="1" si="75"/>
        <v>5549.3556599393251</v>
      </c>
      <c r="J760" s="25">
        <f ca="1">'Single Simulation'!$AP$7*Results!E760</f>
        <v>1016660.4043141938</v>
      </c>
      <c r="K760" s="28" t="str">
        <f t="shared" ca="1" si="73"/>
        <v>No</v>
      </c>
    </row>
    <row r="761" spans="2:11" ht="11.25" hidden="1">
      <c r="B761" s="27">
        <v>759</v>
      </c>
      <c r="C761" s="24">
        <f t="shared" ca="1" si="70"/>
        <v>0.11401023878161265</v>
      </c>
      <c r="D761" s="24">
        <f t="shared" ca="1" si="71"/>
        <v>4.4919663351764727E-2</v>
      </c>
      <c r="E761" s="24">
        <f t="shared" ca="1" si="72"/>
        <v>0.12872335856747683</v>
      </c>
      <c r="F761" s="25">
        <f ca="1">'Single Simulation'!$AP$4*Results!C761</f>
        <v>216174.36444074832</v>
      </c>
      <c r="G761" s="25">
        <f ca="1">'Single Simulation'!$AP$5*Results!D761</f>
        <v>42487.209111106531</v>
      </c>
      <c r="H761" s="25">
        <f t="shared" ca="1" si="74"/>
        <v>173687.1553296418</v>
      </c>
      <c r="I761" s="25">
        <f t="shared" ca="1" si="75"/>
        <v>22357.593974062525</v>
      </c>
      <c r="J761" s="25">
        <f ca="1">'Single Simulation'!$AP$7*Results!E761</f>
        <v>1798527.1528456372</v>
      </c>
      <c r="K761" s="28" t="str">
        <f t="shared" ca="1" si="73"/>
        <v>No</v>
      </c>
    </row>
    <row r="762" spans="2:11" ht="11.25" hidden="1">
      <c r="B762" s="27">
        <v>760</v>
      </c>
      <c r="C762" s="29">
        <f t="shared" ca="1" si="70"/>
        <v>4.9141276869127379E-2</v>
      </c>
      <c r="D762" s="29">
        <f t="shared" ca="1" si="71"/>
        <v>5.8525701860467925E-2</v>
      </c>
      <c r="E762" s="29">
        <f t="shared" ca="1" si="72"/>
        <v>9.0956875852770375E-2</v>
      </c>
      <c r="F762" s="30">
        <f ca="1">'Single Simulation'!$AP$4*Results!C762</f>
        <v>93176.581406333557</v>
      </c>
      <c r="G762" s="30">
        <f ca="1">'Single Simulation'!$AP$5*Results!D762</f>
        <v>55356.464135706578</v>
      </c>
      <c r="H762" s="30">
        <f t="shared" ca="1" si="74"/>
        <v>37820.117270626979</v>
      </c>
      <c r="I762" s="30">
        <f t="shared" ca="1" si="75"/>
        <v>3439.999711321635</v>
      </c>
      <c r="J762" s="25">
        <f ca="1">'Single Simulation'!$AP$7*Results!E762</f>
        <v>1270852.5692597127</v>
      </c>
      <c r="K762" s="28" t="str">
        <f t="shared" ca="1" si="73"/>
        <v>No</v>
      </c>
    </row>
    <row r="763" spans="2:11" ht="11.25" hidden="1">
      <c r="B763" s="27">
        <v>761</v>
      </c>
      <c r="C763" s="24">
        <f t="shared" ca="1" si="70"/>
        <v>6.3968646434979487E-2</v>
      </c>
      <c r="D763" s="24">
        <f t="shared" ca="1" si="71"/>
        <v>6.9382475072274546E-2</v>
      </c>
      <c r="E763" s="24">
        <f t="shared" ca="1" si="72"/>
        <v>9.6921158727080708E-2</v>
      </c>
      <c r="F763" s="25">
        <f ca="1">'Single Simulation'!$AP$4*Results!C763</f>
        <v>121290.69840564922</v>
      </c>
      <c r="G763" s="25">
        <f ca="1">'Single Simulation'!$AP$5*Results!D763</f>
        <v>65625.329913031368</v>
      </c>
      <c r="H763" s="25">
        <f t="shared" ca="1" si="74"/>
        <v>55665.368492617854</v>
      </c>
      <c r="I763" s="25">
        <f t="shared" ca="1" si="75"/>
        <v>5395.1520152744524</v>
      </c>
      <c r="J763" s="25">
        <f ca="1">'Single Simulation'!$AP$7*Results!E763</f>
        <v>1354185.7328445979</v>
      </c>
      <c r="K763" s="28" t="str">
        <f t="shared" ca="1" si="73"/>
        <v>No</v>
      </c>
    </row>
    <row r="764" spans="2:11" ht="11.25" hidden="1">
      <c r="B764" s="27">
        <v>762</v>
      </c>
      <c r="C764" s="29">
        <f t="shared" ca="1" si="70"/>
        <v>7.6074109890771416E-2</v>
      </c>
      <c r="D764" s="29">
        <f t="shared" ca="1" si="71"/>
        <v>5.2475103839557405E-2</v>
      </c>
      <c r="E764" s="29">
        <f t="shared" ca="1" si="72"/>
        <v>7.5502209622140312E-2</v>
      </c>
      <c r="F764" s="30">
        <f ca="1">'Single Simulation'!$AP$4*Results!C764</f>
        <v>144243.81995668111</v>
      </c>
      <c r="G764" s="30">
        <f ca="1">'Single Simulation'!$AP$5*Results!D764</f>
        <v>49633.513334661155</v>
      </c>
      <c r="H764" s="30">
        <f t="shared" ca="1" si="74"/>
        <v>94610.306622019954</v>
      </c>
      <c r="I764" s="30">
        <f t="shared" ca="1" si="75"/>
        <v>7143.2872029907203</v>
      </c>
      <c r="J764" s="25">
        <f ca="1">'Single Simulation'!$AP$7*Results!E764</f>
        <v>1054919.4459844665</v>
      </c>
      <c r="K764" s="28" t="str">
        <f t="shared" ca="1" si="73"/>
        <v>No</v>
      </c>
    </row>
    <row r="765" spans="2:11" ht="11.25" hidden="1">
      <c r="B765" s="27">
        <v>763</v>
      </c>
      <c r="C765" s="24">
        <f t="shared" ca="1" si="70"/>
        <v>8.3281292561720427E-2</v>
      </c>
      <c r="D765" s="24">
        <f t="shared" ca="1" si="71"/>
        <v>7.4705649779839761E-2</v>
      </c>
      <c r="E765" s="24">
        <f t="shared" ca="1" si="72"/>
        <v>6.2565472329722385E-2</v>
      </c>
      <c r="F765" s="25">
        <f ca="1">'Single Simulation'!$AP$4*Results!C765</f>
        <v>157909.33061564178</v>
      </c>
      <c r="G765" s="25">
        <f ca="1">'Single Simulation'!$AP$5*Results!D765</f>
        <v>70660.248255231985</v>
      </c>
      <c r="H765" s="25">
        <f t="shared" ca="1" si="74"/>
        <v>87249.082360409797</v>
      </c>
      <c r="I765" s="25">
        <f t="shared" ca="1" si="75"/>
        <v>5458.7800482138882</v>
      </c>
      <c r="J765" s="25">
        <f ca="1">'Single Simulation'!$AP$7*Results!E765</f>
        <v>874166.91164589277</v>
      </c>
      <c r="K765" s="28" t="str">
        <f t="shared" ca="1" si="73"/>
        <v>No</v>
      </c>
    </row>
    <row r="766" spans="2:11" ht="11.25" hidden="1">
      <c r="B766" s="27">
        <v>764</v>
      </c>
      <c r="C766" s="29">
        <f t="shared" ca="1" si="70"/>
        <v>3.4528536207032459E-2</v>
      </c>
      <c r="D766" s="29">
        <f t="shared" ca="1" si="71"/>
        <v>6.8378727619703566E-2</v>
      </c>
      <c r="E766" s="29">
        <f t="shared" ca="1" si="72"/>
        <v>0.11244145124797034</v>
      </c>
      <c r="F766" s="30">
        <f ca="1">'Single Simulation'!$AP$4*Results!C766</f>
        <v>65469.421425581808</v>
      </c>
      <c r="G766" s="30">
        <f ca="1">'Single Simulation'!$AP$5*Results!D766</f>
        <v>64675.936602174152</v>
      </c>
      <c r="H766" s="30">
        <f t="shared" ca="1" si="74"/>
        <v>793.48482340765622</v>
      </c>
      <c r="I766" s="30">
        <f t="shared" ca="1" si="75"/>
        <v>89.220585087196326</v>
      </c>
      <c r="J766" s="25">
        <f ca="1">'Single Simulation'!$AP$7*Results!E766</f>
        <v>1571035.7888839196</v>
      </c>
      <c r="K766" s="28" t="str">
        <f t="shared" ca="1" si="73"/>
        <v>No</v>
      </c>
    </row>
    <row r="767" spans="2:11" ht="11.25" hidden="1">
      <c r="B767" s="27">
        <v>765</v>
      </c>
      <c r="C767" s="24">
        <f t="shared" ca="1" si="70"/>
        <v>6.6437088177453141E-2</v>
      </c>
      <c r="D767" s="24">
        <f t="shared" ca="1" si="71"/>
        <v>6.7496559926693914E-2</v>
      </c>
      <c r="E767" s="24">
        <f t="shared" ca="1" si="72"/>
        <v>0.14080897741521409</v>
      </c>
      <c r="F767" s="25">
        <f ca="1">'Single Simulation'!$AP$4*Results!C767</f>
        <v>125971.1010654524</v>
      </c>
      <c r="G767" s="25">
        <f ca="1">'Single Simulation'!$AP$5*Results!D767</f>
        <v>63841.539359468836</v>
      </c>
      <c r="H767" s="25">
        <f t="shared" ca="1" si="74"/>
        <v>62129.561705983564</v>
      </c>
      <c r="I767" s="25">
        <f t="shared" ca="1" si="75"/>
        <v>8748.4000510749902</v>
      </c>
      <c r="J767" s="25">
        <f ca="1">'Single Simulation'!$AP$7*Results!E767</f>
        <v>1967387.8312686933</v>
      </c>
      <c r="K767" s="28" t="str">
        <f t="shared" ca="1" si="73"/>
        <v>No</v>
      </c>
    </row>
    <row r="768" spans="2:11" ht="11.25" hidden="1">
      <c r="B768" s="27">
        <v>766</v>
      </c>
      <c r="C768" s="29">
        <f t="shared" ca="1" si="70"/>
        <v>9.5020035032296349E-2</v>
      </c>
      <c r="D768" s="29">
        <f t="shared" ca="1" si="71"/>
        <v>5.5254507471517986E-2</v>
      </c>
      <c r="E768" s="29">
        <f t="shared" ca="1" si="72"/>
        <v>0.11408044263266709</v>
      </c>
      <c r="F768" s="30">
        <f ca="1">'Single Simulation'!$AP$4*Results!C768</f>
        <v>180167.11395184888</v>
      </c>
      <c r="G768" s="30">
        <f ca="1">'Single Simulation'!$AP$5*Results!D768</f>
        <v>52262.408889610568</v>
      </c>
      <c r="H768" s="30">
        <f t="shared" ca="1" si="74"/>
        <v>127904.70506223831</v>
      </c>
      <c r="I768" s="30">
        <f t="shared" ca="1" si="75"/>
        <v>14591.425368300881</v>
      </c>
      <c r="J768" s="25">
        <f ca="1">'Single Simulation'!$AP$7*Results!E768</f>
        <v>1593935.8323683501</v>
      </c>
      <c r="K768" s="28" t="str">
        <f t="shared" ca="1" si="73"/>
        <v>No</v>
      </c>
    </row>
    <row r="769" spans="2:11" ht="11.25" hidden="1">
      <c r="B769" s="27">
        <v>767</v>
      </c>
      <c r="C769" s="24">
        <f t="shared" ca="1" si="70"/>
        <v>4.3124149722056568E-2</v>
      </c>
      <c r="D769" s="24">
        <f t="shared" ca="1" si="71"/>
        <v>4.9035100746154713E-2</v>
      </c>
      <c r="E769" s="24">
        <f t="shared" ca="1" si="72"/>
        <v>0.14405211461486694</v>
      </c>
      <c r="F769" s="25">
        <f ca="1">'Single Simulation'!$AP$4*Results!C769</f>
        <v>81767.530336202937</v>
      </c>
      <c r="G769" s="25">
        <f ca="1">'Single Simulation'!$AP$5*Results!D769</f>
        <v>46379.790580158107</v>
      </c>
      <c r="H769" s="25">
        <f t="shared" ca="1" si="74"/>
        <v>35387.73975604483</v>
      </c>
      <c r="I769" s="25">
        <f t="shared" ca="1" si="75"/>
        <v>5097.6787432988531</v>
      </c>
      <c r="J769" s="25">
        <f ca="1">'Single Simulation'!$AP$7*Results!E769</f>
        <v>2012701.054749588</v>
      </c>
      <c r="K769" s="28" t="str">
        <f t="shared" ca="1" si="73"/>
        <v>No</v>
      </c>
    </row>
    <row r="770" spans="2:11" ht="11.25" hidden="1">
      <c r="B770" s="27">
        <v>768</v>
      </c>
      <c r="C770" s="29">
        <f t="shared" ca="1" si="70"/>
        <v>5.848642490500891E-2</v>
      </c>
      <c r="D770" s="29">
        <f t="shared" ca="1" si="71"/>
        <v>6.0905779197843686E-2</v>
      </c>
      <c r="E770" s="29">
        <f t="shared" ca="1" si="72"/>
        <v>0.10409568437692446</v>
      </c>
      <c r="F770" s="30">
        <f ca="1">'Single Simulation'!$AP$4*Results!C770</f>
        <v>110895.87976804534</v>
      </c>
      <c r="G770" s="30">
        <f ca="1">'Single Simulation'!$AP$5*Results!D770</f>
        <v>57607.657399151125</v>
      </c>
      <c r="H770" s="30">
        <f t="shared" ca="1" si="74"/>
        <v>53288.222368894218</v>
      </c>
      <c r="I770" s="30">
        <f t="shared" ca="1" si="75"/>
        <v>5547.0739767197783</v>
      </c>
      <c r="J770" s="25">
        <f ca="1">'Single Simulation'!$AP$7*Results!E770</f>
        <v>1454428.4497347681</v>
      </c>
      <c r="K770" s="28" t="str">
        <f t="shared" ca="1" si="73"/>
        <v>No</v>
      </c>
    </row>
    <row r="771" spans="2:11" ht="11.25" hidden="1">
      <c r="B771" s="27">
        <v>769</v>
      </c>
      <c r="C771" s="24">
        <f t="shared" ca="1" si="70"/>
        <v>5.3338226927997286E-2</v>
      </c>
      <c r="D771" s="24">
        <f t="shared" ca="1" si="71"/>
        <v>3.920847860988496E-2</v>
      </c>
      <c r="E771" s="24">
        <f t="shared" ca="1" si="72"/>
        <v>0.17193029039684765</v>
      </c>
      <c r="F771" s="25">
        <f ca="1">'Single Simulation'!$AP$4*Results!C771</f>
        <v>101134.40187282386</v>
      </c>
      <c r="G771" s="25">
        <f ca="1">'Single Simulation'!$AP$5*Results!D771</f>
        <v>37085.291948455451</v>
      </c>
      <c r="H771" s="25">
        <f t="shared" ca="1" si="74"/>
        <v>64049.109924368408</v>
      </c>
      <c r="I771" s="25">
        <f t="shared" ca="1" si="75"/>
        <v>11011.982068956277</v>
      </c>
      <c r="J771" s="25">
        <f ca="1">'Single Simulation'!$AP$7*Results!E771</f>
        <v>2402215.8768742201</v>
      </c>
      <c r="K771" s="28" t="str">
        <f t="shared" ca="1" si="73"/>
        <v>No</v>
      </c>
    </row>
    <row r="772" spans="2:11" ht="11.25" hidden="1">
      <c r="B772" s="27">
        <v>770</v>
      </c>
      <c r="C772" s="29">
        <f t="shared" ref="C772:C835" ca="1" si="76">MAX(0.02,MIN(0.12,_xlfn.NORM.INV(RAND(),0.06,0.02)))</f>
        <v>6.2333335012723791E-2</v>
      </c>
      <c r="D772" s="29">
        <f t="shared" ref="D772:D835" ca="1" si="77">MAX(0.02,MIN(0.08,_xlfn.NORM.INV(RAND(),0.05,0.015)))</f>
        <v>3.1173034541547563E-2</v>
      </c>
      <c r="E772" s="29">
        <f t="shared" ref="E772:E835" ca="1" si="78">MAX(-0.1,MIN(0.25,_xlfn.NORM.INV(RAND(),0.07,0.04)))</f>
        <v>1.5169659306413792E-2</v>
      </c>
      <c r="F772" s="30">
        <f ca="1">'Single Simulation'!$AP$4*Results!C772</f>
        <v>118189.9908626541</v>
      </c>
      <c r="G772" s="30">
        <f ca="1">'Single Simulation'!$AP$5*Results!D772</f>
        <v>29484.976920301102</v>
      </c>
      <c r="H772" s="30">
        <f t="shared" ca="1" si="74"/>
        <v>88705.013942352991</v>
      </c>
      <c r="I772" s="30">
        <f t="shared" ca="1" si="75"/>
        <v>1345.6248402761803</v>
      </c>
      <c r="J772" s="25">
        <f ca="1">'Single Simulation'!$AP$7*Results!E772</f>
        <v>211950.99681695254</v>
      </c>
      <c r="K772" s="28" t="str">
        <f t="shared" ref="K772:K835" ca="1" si="79">IF(J772&gt;$N$4,"Yes","No")</f>
        <v>No</v>
      </c>
    </row>
    <row r="773" spans="2:11" ht="11.25" hidden="1">
      <c r="B773" s="27">
        <v>771</v>
      </c>
      <c r="C773" s="24">
        <f t="shared" ca="1" si="76"/>
        <v>5.1124021854555557E-2</v>
      </c>
      <c r="D773" s="24">
        <f t="shared" ca="1" si="77"/>
        <v>3.8645219691516346E-2</v>
      </c>
      <c r="E773" s="24">
        <f t="shared" ca="1" si="78"/>
        <v>0.13847958959679718</v>
      </c>
      <c r="F773" s="25">
        <f ca="1">'Single Simulation'!$AP$4*Results!C773</f>
        <v>96936.056359228256</v>
      </c>
      <c r="G773" s="25">
        <f ca="1">'Single Simulation'!$AP$5*Results!D773</f>
        <v>36552.53418353149</v>
      </c>
      <c r="H773" s="25">
        <f t="shared" ca="1" si="74"/>
        <v>60383.522175696766</v>
      </c>
      <c r="I773" s="25">
        <f t="shared" ca="1" si="75"/>
        <v>8361.885369299589</v>
      </c>
      <c r="J773" s="25">
        <f ca="1">'Single Simulation'!$AP$7*Results!E773</f>
        <v>1934841.5452833525</v>
      </c>
      <c r="K773" s="28" t="str">
        <f t="shared" ca="1" si="79"/>
        <v>No</v>
      </c>
    </row>
    <row r="774" spans="2:11" ht="11.25" hidden="1">
      <c r="B774" s="27">
        <v>772</v>
      </c>
      <c r="C774" s="29">
        <f t="shared" ca="1" si="76"/>
        <v>6.0934440990391289E-2</v>
      </c>
      <c r="D774" s="29">
        <f t="shared" ca="1" si="77"/>
        <v>6.3691566354545551E-2</v>
      </c>
      <c r="E774" s="29">
        <f t="shared" ca="1" si="78"/>
        <v>4.095724367462443E-2</v>
      </c>
      <c r="F774" s="30">
        <f ca="1">'Single Simulation'!$AP$4*Results!C774</f>
        <v>115537.55341993504</v>
      </c>
      <c r="G774" s="30">
        <f ca="1">'Single Simulation'!$AP$5*Results!D774</f>
        <v>60242.590803236337</v>
      </c>
      <c r="H774" s="30">
        <f t="shared" ca="1" si="74"/>
        <v>55294.9626166987</v>
      </c>
      <c r="I774" s="30">
        <f t="shared" ca="1" si="75"/>
        <v>2264.7292578713773</v>
      </c>
      <c r="J774" s="25">
        <f ca="1">'Single Simulation'!$AP$7*Results!E774</f>
        <v>572256.0044602413</v>
      </c>
      <c r="K774" s="28" t="str">
        <f t="shared" ca="1" si="79"/>
        <v>No</v>
      </c>
    </row>
    <row r="775" spans="2:11" ht="11.25" hidden="1">
      <c r="B775" s="27">
        <v>773</v>
      </c>
      <c r="C775" s="24">
        <f t="shared" ca="1" si="76"/>
        <v>7.8116300617304416E-2</v>
      </c>
      <c r="D775" s="24">
        <f t="shared" ca="1" si="77"/>
        <v>6.9755127453258153E-2</v>
      </c>
      <c r="E775" s="24">
        <f t="shared" ca="1" si="78"/>
        <v>4.0217145030726459E-2</v>
      </c>
      <c r="F775" s="25">
        <f ca="1">'Single Simulation'!$AP$4*Results!C775</f>
        <v>148116.00974500968</v>
      </c>
      <c r="G775" s="25">
        <f ca="1">'Single Simulation'!$AP$5*Results!D775</f>
        <v>65977.802715701662</v>
      </c>
      <c r="H775" s="25">
        <f t="shared" ca="1" si="74"/>
        <v>82138.207029308018</v>
      </c>
      <c r="I775" s="25">
        <f t="shared" ca="1" si="75"/>
        <v>3303.364184661516</v>
      </c>
      <c r="J775" s="25">
        <f ca="1">'Single Simulation'!$AP$7*Results!E775</f>
        <v>561915.32098485657</v>
      </c>
      <c r="K775" s="28" t="str">
        <f t="shared" ca="1" si="79"/>
        <v>No</v>
      </c>
    </row>
    <row r="776" spans="2:11" ht="11.25" hidden="1">
      <c r="B776" s="27">
        <v>774</v>
      </c>
      <c r="C776" s="29">
        <f t="shared" ca="1" si="76"/>
        <v>6.2081932906813644E-2</v>
      </c>
      <c r="D776" s="29">
        <f t="shared" ca="1" si="77"/>
        <v>4.3657684056939629E-2</v>
      </c>
      <c r="E776" s="29">
        <f t="shared" ca="1" si="78"/>
        <v>3.5748649096056455E-2</v>
      </c>
      <c r="F776" s="30">
        <f ca="1">'Single Simulation'!$AP$4*Results!C776</f>
        <v>117713.30832041074</v>
      </c>
      <c r="G776" s="30">
        <f ca="1">'Single Simulation'!$AP$5*Results!D776</f>
        <v>41293.567525388498</v>
      </c>
      <c r="H776" s="30">
        <f t="shared" ca="1" si="74"/>
        <v>76419.74079502224</v>
      </c>
      <c r="I776" s="30">
        <f t="shared" ca="1" si="75"/>
        <v>2731.9024976928404</v>
      </c>
      <c r="J776" s="25">
        <f ca="1">'Single Simulation'!$AP$7*Results!E776</f>
        <v>499481.34349761205</v>
      </c>
      <c r="K776" s="28" t="str">
        <f t="shared" ca="1" si="79"/>
        <v>No</v>
      </c>
    </row>
    <row r="777" spans="2:11" ht="11.25" hidden="1">
      <c r="B777" s="27">
        <v>775</v>
      </c>
      <c r="C777" s="24">
        <f t="shared" ca="1" si="76"/>
        <v>5.6607242404900393E-2</v>
      </c>
      <c r="D777" s="24">
        <f t="shared" ca="1" si="77"/>
        <v>3.4826135533610761E-2</v>
      </c>
      <c r="E777" s="24">
        <f t="shared" ca="1" si="78"/>
        <v>2.9507229014088913E-2</v>
      </c>
      <c r="F777" s="25">
        <f ca="1">'Single Simulation'!$AP$4*Results!C777</f>
        <v>107332.76923542665</v>
      </c>
      <c r="G777" s="25">
        <f ca="1">'Single Simulation'!$AP$5*Results!D777</f>
        <v>32940.258063846944</v>
      </c>
      <c r="H777" s="25">
        <f t="shared" ca="1" si="74"/>
        <v>74392.51117157971</v>
      </c>
      <c r="I777" s="25">
        <f t="shared" ca="1" si="75"/>
        <v>2195.1168640729707</v>
      </c>
      <c r="J777" s="25">
        <f ca="1">'Single Simulation'!$AP$7*Results!E777</f>
        <v>412276.00940239942</v>
      </c>
      <c r="K777" s="28" t="str">
        <f t="shared" ca="1" si="79"/>
        <v>No</v>
      </c>
    </row>
    <row r="778" spans="2:11" ht="11.25" hidden="1">
      <c r="B778" s="27">
        <v>776</v>
      </c>
      <c r="C778" s="29">
        <f t="shared" ca="1" si="76"/>
        <v>6.7270503726480746E-2</v>
      </c>
      <c r="D778" s="29">
        <f t="shared" ca="1" si="77"/>
        <v>4.9670036288810095E-2</v>
      </c>
      <c r="E778" s="29">
        <f t="shared" ca="1" si="78"/>
        <v>7.4615847359059698E-2</v>
      </c>
      <c r="F778" s="30">
        <f ca="1">'Single Simulation'!$AP$4*Results!C778</f>
        <v>127551.33700348235</v>
      </c>
      <c r="G778" s="30">
        <f ca="1">'Single Simulation'!$AP$5*Results!D778</f>
        <v>46980.343593247715</v>
      </c>
      <c r="H778" s="30">
        <f t="shared" ca="1" si="74"/>
        <v>80570.993410234631</v>
      </c>
      <c r="I778" s="30">
        <f t="shared" ca="1" si="75"/>
        <v>6011.8729458658718</v>
      </c>
      <c r="J778" s="25">
        <f ca="1">'Single Simulation'!$AP$7*Results!E778</f>
        <v>1042535.1622371423</v>
      </c>
      <c r="K778" s="28" t="str">
        <f t="shared" ca="1" si="79"/>
        <v>No</v>
      </c>
    </row>
    <row r="779" spans="2:11" ht="11.25" hidden="1">
      <c r="B779" s="27">
        <v>777</v>
      </c>
      <c r="C779" s="24">
        <f t="shared" ca="1" si="76"/>
        <v>8.8316364476918E-2</v>
      </c>
      <c r="D779" s="24">
        <f t="shared" ca="1" si="77"/>
        <v>4.5090466816651201E-2</v>
      </c>
      <c r="E779" s="24">
        <f t="shared" ca="1" si="78"/>
        <v>0.13019393041628063</v>
      </c>
      <c r="F779" s="25">
        <f ca="1">'Single Simulation'!$AP$4*Results!C779</f>
        <v>167456.31063088615</v>
      </c>
      <c r="G779" s="25">
        <f ca="1">'Single Simulation'!$AP$5*Results!D779</f>
        <v>42648.763361250931</v>
      </c>
      <c r="H779" s="25">
        <f t="shared" ca="1" si="74"/>
        <v>124807.54726963522</v>
      </c>
      <c r="I779" s="25">
        <f t="shared" ca="1" si="75"/>
        <v>16249.185124649544</v>
      </c>
      <c r="J779" s="25">
        <f ca="1">'Single Simulation'!$AP$7*Results!E779</f>
        <v>1819074.0328347699</v>
      </c>
      <c r="K779" s="28" t="str">
        <f t="shared" ca="1" si="79"/>
        <v>No</v>
      </c>
    </row>
    <row r="780" spans="2:11" ht="11.25" hidden="1">
      <c r="B780" s="27">
        <v>778</v>
      </c>
      <c r="C780" s="29">
        <f t="shared" ca="1" si="76"/>
        <v>0.02</v>
      </c>
      <c r="D780" s="29">
        <f t="shared" ca="1" si="77"/>
        <v>3.0770600220098577E-2</v>
      </c>
      <c r="E780" s="29">
        <f t="shared" ca="1" si="78"/>
        <v>6.8410632406280258E-3</v>
      </c>
      <c r="F780" s="30">
        <f ca="1">'Single Simulation'!$AP$4*Results!C780</f>
        <v>37921.921180225181</v>
      </c>
      <c r="G780" s="30">
        <f ca="1">'Single Simulation'!$AP$5*Results!D780</f>
        <v>29104.334905355601</v>
      </c>
      <c r="H780" s="30">
        <f t="shared" ca="1" si="74"/>
        <v>8817.5862748695799</v>
      </c>
      <c r="I780" s="30">
        <f t="shared" ca="1" si="75"/>
        <v>60.321665336076492</v>
      </c>
      <c r="J780" s="25">
        <f ca="1">'Single Simulation'!$AP$7*Results!E780</f>
        <v>95583.568744083037</v>
      </c>
      <c r="K780" s="28" t="str">
        <f t="shared" ca="1" si="79"/>
        <v>No</v>
      </c>
    </row>
    <row r="781" spans="2:11" ht="11.25" hidden="1">
      <c r="B781" s="27">
        <v>779</v>
      </c>
      <c r="C781" s="24">
        <f t="shared" ca="1" si="76"/>
        <v>6.1201146659021287E-2</v>
      </c>
      <c r="D781" s="24">
        <f t="shared" ca="1" si="77"/>
        <v>7.3614553591917042E-2</v>
      </c>
      <c r="E781" s="24">
        <f t="shared" ca="1" si="78"/>
        <v>9.8705944348832425E-2</v>
      </c>
      <c r="F781" s="25">
        <f ca="1">'Single Simulation'!$AP$4*Results!C781</f>
        <v>116043.25298714034</v>
      </c>
      <c r="G781" s="25">
        <f ca="1">'Single Simulation'!$AP$5*Results!D781</f>
        <v>69628.236248962508</v>
      </c>
      <c r="H781" s="25">
        <f t="shared" ca="1" si="74"/>
        <v>46415.01673817783</v>
      </c>
      <c r="I781" s="25">
        <f t="shared" ca="1" si="75"/>
        <v>4581.4380591087065</v>
      </c>
      <c r="J781" s="25">
        <f ca="1">'Single Simulation'!$AP$7*Results!E781</f>
        <v>1379122.8183778832</v>
      </c>
      <c r="K781" s="28" t="str">
        <f t="shared" ca="1" si="79"/>
        <v>No</v>
      </c>
    </row>
    <row r="782" spans="2:11" ht="11.25" hidden="1">
      <c r="B782" s="27">
        <v>780</v>
      </c>
      <c r="C782" s="29">
        <f t="shared" ca="1" si="76"/>
        <v>3.4861438992111499E-2</v>
      </c>
      <c r="D782" s="29">
        <f t="shared" ca="1" si="77"/>
        <v>2.8310700658206019E-2</v>
      </c>
      <c r="E782" s="29">
        <f t="shared" ca="1" si="78"/>
        <v>9.2306679328609004E-2</v>
      </c>
      <c r="F782" s="30">
        <f ca="1">'Single Simulation'!$AP$4*Results!C782</f>
        <v>66100.63708440405</v>
      </c>
      <c r="G782" s="30">
        <f ca="1">'Single Simulation'!$AP$5*Results!D782</f>
        <v>26777.641887645295</v>
      </c>
      <c r="H782" s="30">
        <f t="shared" ca="1" si="74"/>
        <v>39322.995196758755</v>
      </c>
      <c r="I782" s="30">
        <f t="shared" ca="1" si="75"/>
        <v>3629.7751078676424</v>
      </c>
      <c r="J782" s="25">
        <f ca="1">'Single Simulation'!$AP$7*Results!E782</f>
        <v>1289712.0694259442</v>
      </c>
      <c r="K782" s="28" t="str">
        <f t="shared" ca="1" si="79"/>
        <v>No</v>
      </c>
    </row>
    <row r="783" spans="2:11" ht="11.25" hidden="1">
      <c r="B783" s="27">
        <v>781</v>
      </c>
      <c r="C783" s="24">
        <f t="shared" ca="1" si="76"/>
        <v>6.8359872899446505E-2</v>
      </c>
      <c r="D783" s="24">
        <f t="shared" ca="1" si="77"/>
        <v>6.1697442330071128E-2</v>
      </c>
      <c r="E783" s="24">
        <f t="shared" ca="1" si="78"/>
        <v>-3.0325174710433764E-2</v>
      </c>
      <c r="F783" s="25">
        <f ca="1">'Single Simulation'!$AP$4*Results!C783</f>
        <v>129616.88559915108</v>
      </c>
      <c r="G783" s="25">
        <f ca="1">'Single Simulation'!$AP$5*Results!D783</f>
        <v>58356.451012787576</v>
      </c>
      <c r="H783" s="25">
        <f t="shared" ca="1" si="74"/>
        <v>71260.434586363495</v>
      </c>
      <c r="I783" s="25">
        <f t="shared" ca="1" si="75"/>
        <v>-2160.9851287729098</v>
      </c>
      <c r="J783" s="25">
        <f ca="1">'Single Simulation'!$AP$7*Results!E783</f>
        <v>-423704.37454762904</v>
      </c>
      <c r="K783" s="28" t="str">
        <f t="shared" ca="1" si="79"/>
        <v>No</v>
      </c>
    </row>
    <row r="784" spans="2:11" ht="11.25" hidden="1">
      <c r="B784" s="27">
        <v>782</v>
      </c>
      <c r="C784" s="29">
        <f t="shared" ca="1" si="76"/>
        <v>6.2547825500663817E-2</v>
      </c>
      <c r="D784" s="29">
        <f t="shared" ca="1" si="77"/>
        <v>4.5404717869257434E-2</v>
      </c>
      <c r="E784" s="29">
        <f t="shared" ca="1" si="78"/>
        <v>5.4218959818899459E-2</v>
      </c>
      <c r="F784" s="30">
        <f ca="1">'Single Simulation'!$AP$4*Results!C784</f>
        <v>118596.68543153259</v>
      </c>
      <c r="G784" s="30">
        <f ca="1">'Single Simulation'!$AP$5*Results!D784</f>
        <v>42945.997338293673</v>
      </c>
      <c r="H784" s="30">
        <f t="shared" ca="1" si="74"/>
        <v>75650.688093238918</v>
      </c>
      <c r="I784" s="30">
        <f t="shared" ca="1" si="75"/>
        <v>4101.7016179994171</v>
      </c>
      <c r="J784" s="25">
        <f ca="1">'Single Simulation'!$AP$7*Results!E784</f>
        <v>757549.1543923649</v>
      </c>
      <c r="K784" s="28" t="str">
        <f t="shared" ca="1" si="79"/>
        <v>No</v>
      </c>
    </row>
    <row r="785" spans="2:11" ht="11.25" hidden="1">
      <c r="B785" s="27">
        <v>783</v>
      </c>
      <c r="C785" s="24">
        <f t="shared" ca="1" si="76"/>
        <v>7.6358792578334833E-2</v>
      </c>
      <c r="D785" s="24">
        <f t="shared" ca="1" si="77"/>
        <v>2.9620285631137017E-2</v>
      </c>
      <c r="E785" s="24">
        <f t="shared" ca="1" si="78"/>
        <v>3.4853811575428287E-2</v>
      </c>
      <c r="F785" s="25">
        <f ca="1">'Single Simulation'!$AP$4*Results!C785</f>
        <v>144783.60567863885</v>
      </c>
      <c r="G785" s="25">
        <f ca="1">'Single Simulation'!$AP$5*Results!D785</f>
        <v>28016.31124627254</v>
      </c>
      <c r="H785" s="25">
        <f t="shared" ca="1" si="74"/>
        <v>116767.29443236631</v>
      </c>
      <c r="I785" s="25">
        <f t="shared" ca="1" si="75"/>
        <v>4069.785278318252</v>
      </c>
      <c r="J785" s="25">
        <f ca="1">'Single Simulation'!$AP$7*Results!E785</f>
        <v>486978.64316299342</v>
      </c>
      <c r="K785" s="28" t="str">
        <f t="shared" ca="1" si="79"/>
        <v>No</v>
      </c>
    </row>
    <row r="786" spans="2:11" ht="11.25" hidden="1">
      <c r="B786" s="27">
        <v>784</v>
      </c>
      <c r="C786" s="29">
        <f t="shared" ca="1" si="76"/>
        <v>3.8587544590095176E-2</v>
      </c>
      <c r="D786" s="29">
        <f t="shared" ca="1" si="77"/>
        <v>0.02</v>
      </c>
      <c r="E786" s="29">
        <f t="shared" ca="1" si="78"/>
        <v>7.4881817419464855E-2</v>
      </c>
      <c r="F786" s="30">
        <f ca="1">'Single Simulation'!$AP$4*Results!C786</f>
        <v>73165.69122420068</v>
      </c>
      <c r="G786" s="30">
        <f ca="1">'Single Simulation'!$AP$5*Results!D786</f>
        <v>18916.975747743385</v>
      </c>
      <c r="H786" s="30">
        <f t="shared" ca="1" si="74"/>
        <v>54248.715476457292</v>
      </c>
      <c r="I786" s="30">
        <f t="shared" ca="1" si="75"/>
        <v>4062.2424075485724</v>
      </c>
      <c r="J786" s="25">
        <f ca="1">'Single Simulation'!$AP$7*Results!E786</f>
        <v>1046251.3049854836</v>
      </c>
      <c r="K786" s="28" t="str">
        <f t="shared" ca="1" si="79"/>
        <v>No</v>
      </c>
    </row>
    <row r="787" spans="2:11" ht="11.25" hidden="1">
      <c r="B787" s="27">
        <v>785</v>
      </c>
      <c r="C787" s="24">
        <f t="shared" ca="1" si="76"/>
        <v>7.1041002509244222E-2</v>
      </c>
      <c r="D787" s="24">
        <f t="shared" ca="1" si="77"/>
        <v>0.02</v>
      </c>
      <c r="E787" s="24">
        <f t="shared" ca="1" si="78"/>
        <v>4.3741969560866456E-2</v>
      </c>
      <c r="F787" s="25">
        <f ca="1">'Single Simulation'!$AP$4*Results!C787</f>
        <v>134700.56488598691</v>
      </c>
      <c r="G787" s="25">
        <f ca="1">'Single Simulation'!$AP$5*Results!D787</f>
        <v>18916.975747743385</v>
      </c>
      <c r="H787" s="25">
        <f t="shared" ca="1" si="74"/>
        <v>115783.58913824352</v>
      </c>
      <c r="I787" s="25">
        <f t="shared" ca="1" si="75"/>
        <v>5064.6022317329162</v>
      </c>
      <c r="J787" s="25">
        <f ca="1">'Single Simulation'!$AP$7*Results!E787</f>
        <v>611164.28944732854</v>
      </c>
      <c r="K787" s="28" t="str">
        <f t="shared" ca="1" si="79"/>
        <v>No</v>
      </c>
    </row>
    <row r="788" spans="2:11" ht="11.25" hidden="1">
      <c r="B788" s="27">
        <v>786</v>
      </c>
      <c r="C788" s="29">
        <f t="shared" ca="1" si="76"/>
        <v>4.1375711068625892E-2</v>
      </c>
      <c r="D788" s="29">
        <f t="shared" ca="1" si="77"/>
        <v>4.0700422981621895E-2</v>
      </c>
      <c r="E788" s="29">
        <f t="shared" ca="1" si="78"/>
        <v>0.11890014580031372</v>
      </c>
      <c r="F788" s="30">
        <f ca="1">'Single Simulation'!$AP$4*Results!C788</f>
        <v>78452.322696010073</v>
      </c>
      <c r="G788" s="30">
        <f ca="1">'Single Simulation'!$AP$5*Results!D788</f>
        <v>38496.445723311939</v>
      </c>
      <c r="H788" s="30">
        <f t="shared" ca="1" si="74"/>
        <v>39955.876972698134</v>
      </c>
      <c r="I788" s="30">
        <f t="shared" ca="1" si="75"/>
        <v>4750.7595976332059</v>
      </c>
      <c r="J788" s="25">
        <f ca="1">'Single Simulation'!$AP$7*Results!E788</f>
        <v>1661276.8892840196</v>
      </c>
      <c r="K788" s="28" t="str">
        <f t="shared" ca="1" si="79"/>
        <v>No</v>
      </c>
    </row>
    <row r="789" spans="2:11" ht="11.25" hidden="1">
      <c r="B789" s="27">
        <v>787</v>
      </c>
      <c r="C789" s="24">
        <f t="shared" ca="1" si="76"/>
        <v>5.2282073832368006E-2</v>
      </c>
      <c r="D789" s="24">
        <f t="shared" ca="1" si="77"/>
        <v>7.9105789045858063E-2</v>
      </c>
      <c r="E789" s="24">
        <f t="shared" ca="1" si="78"/>
        <v>2.9318461078873516E-2</v>
      </c>
      <c r="F789" s="25">
        <f ca="1">'Single Simulation'!$AP$4*Results!C789</f>
        <v>99131.834150488634</v>
      </c>
      <c r="G789" s="25">
        <f ca="1">'Single Simulation'!$AP$5*Results!D789</f>
        <v>74822.114644330068</v>
      </c>
      <c r="H789" s="25">
        <f t="shared" ca="1" si="74"/>
        <v>24309.719506158566</v>
      </c>
      <c r="I789" s="25">
        <f t="shared" ca="1" si="75"/>
        <v>712.72356517964226</v>
      </c>
      <c r="J789" s="25">
        <f ca="1">'Single Simulation'!$AP$7*Results!E789</f>
        <v>409638.53737828712</v>
      </c>
      <c r="K789" s="28" t="str">
        <f t="shared" ca="1" si="79"/>
        <v>No</v>
      </c>
    </row>
    <row r="790" spans="2:11" ht="11.25" hidden="1">
      <c r="B790" s="27">
        <v>788</v>
      </c>
      <c r="C790" s="29">
        <f t="shared" ca="1" si="76"/>
        <v>4.2366028943613465E-2</v>
      </c>
      <c r="D790" s="29">
        <f t="shared" ca="1" si="77"/>
        <v>5.1893548774517947E-2</v>
      </c>
      <c r="E790" s="29">
        <f t="shared" ca="1" si="78"/>
        <v>5.2521844757806552E-2</v>
      </c>
      <c r="F790" s="30">
        <f ca="1">'Single Simulation'!$AP$4*Results!C790</f>
        <v>80330.060515942416</v>
      </c>
      <c r="G790" s="30">
        <f ca="1">'Single Simulation'!$AP$5*Results!D790</f>
        <v>49083.450181594722</v>
      </c>
      <c r="H790" s="30">
        <f t="shared" ca="1" si="74"/>
        <v>31246.610334347693</v>
      </c>
      <c r="I790" s="30">
        <f t="shared" ca="1" si="75"/>
        <v>1641.1296171882834</v>
      </c>
      <c r="J790" s="25">
        <f ca="1">'Single Simulation'!$AP$7*Results!E790</f>
        <v>733837.00492045027</v>
      </c>
      <c r="K790" s="28" t="str">
        <f t="shared" ca="1" si="79"/>
        <v>No</v>
      </c>
    </row>
    <row r="791" spans="2:11" ht="11.25" hidden="1">
      <c r="B791" s="27">
        <v>789</v>
      </c>
      <c r="C791" s="24">
        <f t="shared" ca="1" si="76"/>
        <v>8.4601406090889772E-2</v>
      </c>
      <c r="D791" s="24">
        <f t="shared" ca="1" si="77"/>
        <v>5.5136509867824993E-2</v>
      </c>
      <c r="E791" s="24">
        <f t="shared" ca="1" si="78"/>
        <v>8.6908285781230679E-2</v>
      </c>
      <c r="F791" s="25">
        <f ca="1">'Single Simulation'!$AP$4*Results!C791</f>
        <v>160412.39267574722</v>
      </c>
      <c r="G791" s="25">
        <f ca="1">'Single Simulation'!$AP$5*Results!D791</f>
        <v>52150.800999242958</v>
      </c>
      <c r="H791" s="25">
        <f t="shared" ca="1" si="74"/>
        <v>108261.59167650426</v>
      </c>
      <c r="I791" s="25">
        <f t="shared" ca="1" si="75"/>
        <v>9408.8293485525373</v>
      </c>
      <c r="J791" s="25">
        <f ca="1">'Single Simulation'!$AP$7*Results!E791</f>
        <v>1214285.530802676</v>
      </c>
      <c r="K791" s="28" t="str">
        <f t="shared" ca="1" si="79"/>
        <v>No</v>
      </c>
    </row>
    <row r="792" spans="2:11" ht="11.25" hidden="1">
      <c r="B792" s="27">
        <v>790</v>
      </c>
      <c r="C792" s="29">
        <f t="shared" ca="1" si="76"/>
        <v>6.8765898262434857E-2</v>
      </c>
      <c r="D792" s="29">
        <f t="shared" ca="1" si="77"/>
        <v>2.6284904057101727E-2</v>
      </c>
      <c r="E792" s="29">
        <f t="shared" ca="1" si="78"/>
        <v>-2.3794510540274025E-2</v>
      </c>
      <c r="F792" s="30">
        <f ca="1">'Single Simulation'!$AP$4*Results!C792</f>
        <v>130386.74868977191</v>
      </c>
      <c r="G792" s="30">
        <f ca="1">'Single Simulation'!$AP$5*Results!D792</f>
        <v>24861.544628997752</v>
      </c>
      <c r="H792" s="30">
        <f t="shared" ca="1" si="74"/>
        <v>105525.20406077415</v>
      </c>
      <c r="I792" s="30">
        <f t="shared" ca="1" si="75"/>
        <v>-2510.9205802886577</v>
      </c>
      <c r="J792" s="25">
        <f ca="1">'Single Simulation'!$AP$7*Results!E792</f>
        <v>-332457.71219464688</v>
      </c>
      <c r="K792" s="28" t="str">
        <f t="shared" ca="1" si="79"/>
        <v>No</v>
      </c>
    </row>
    <row r="793" spans="2:11" ht="11.25" hidden="1">
      <c r="B793" s="27">
        <v>791</v>
      </c>
      <c r="C793" s="24">
        <f t="shared" ca="1" si="76"/>
        <v>2.5421338611219424E-2</v>
      </c>
      <c r="D793" s="24">
        <f t="shared" ca="1" si="77"/>
        <v>6.6082029683904225E-2</v>
      </c>
      <c r="E793" s="24">
        <f t="shared" ca="1" si="78"/>
        <v>0.11756359315230253</v>
      </c>
      <c r="F793" s="25">
        <f ca="1">'Single Simulation'!$AP$4*Results!C793</f>
        <v>48201.2999555239</v>
      </c>
      <c r="G793" s="25">
        <f ca="1">'Single Simulation'!$AP$5*Results!D793</f>
        <v>62503.607644603733</v>
      </c>
      <c r="H793" s="25">
        <f t="shared" ca="1" si="74"/>
        <v>-14302.307689079833</v>
      </c>
      <c r="I793" s="25">
        <f t="shared" ca="1" si="75"/>
        <v>-1681.4306822980295</v>
      </c>
      <c r="J793" s="25">
        <f ca="1">'Single Simulation'!$AP$7*Results!E793</f>
        <v>1642602.5301357864</v>
      </c>
      <c r="K793" s="28" t="str">
        <f t="shared" ca="1" si="79"/>
        <v>No</v>
      </c>
    </row>
    <row r="794" spans="2:11" ht="11.25" hidden="1">
      <c r="B794" s="27">
        <v>792</v>
      </c>
      <c r="C794" s="29">
        <f t="shared" ca="1" si="76"/>
        <v>5.1993280539418554E-2</v>
      </c>
      <c r="D794" s="29">
        <f t="shared" ca="1" si="77"/>
        <v>4.315436744474397E-2</v>
      </c>
      <c r="E794" s="29">
        <f t="shared" ca="1" si="78"/>
        <v>0.10019224464250137</v>
      </c>
      <c r="F794" s="30">
        <f ca="1">'Single Simulation'!$AP$4*Results!C794</f>
        <v>98584.254325858303</v>
      </c>
      <c r="G794" s="30">
        <f ca="1">'Single Simulation'!$AP$5*Results!D794</f>
        <v>40817.506118071418</v>
      </c>
      <c r="H794" s="30">
        <f t="shared" ca="1" si="74"/>
        <v>57766.748207786884</v>
      </c>
      <c r="I794" s="30">
        <f t="shared" ca="1" si="75"/>
        <v>5787.7801686363609</v>
      </c>
      <c r="J794" s="25">
        <f ca="1">'Single Simulation'!$AP$7*Results!E794</f>
        <v>1399889.4567347032</v>
      </c>
      <c r="K794" s="28" t="str">
        <f t="shared" ca="1" si="79"/>
        <v>No</v>
      </c>
    </row>
    <row r="795" spans="2:11" ht="11.25" hidden="1">
      <c r="B795" s="27">
        <v>793</v>
      </c>
      <c r="C795" s="24">
        <f t="shared" ca="1" si="76"/>
        <v>7.0615530567557871E-2</v>
      </c>
      <c r="D795" s="24">
        <f t="shared" ca="1" si="77"/>
        <v>5.1345380377352222E-2</v>
      </c>
      <c r="E795" s="24">
        <f t="shared" ca="1" si="78"/>
        <v>0.11104538063147343</v>
      </c>
      <c r="F795" s="25">
        <f ca="1">'Single Simulation'!$AP$4*Results!C795</f>
        <v>133893.82921413556</v>
      </c>
      <c r="G795" s="25">
        <f ca="1">'Single Simulation'!$AP$5*Results!D795</f>
        <v>48564.96576785155</v>
      </c>
      <c r="H795" s="25">
        <f t="shared" ca="1" si="74"/>
        <v>85328.863446284013</v>
      </c>
      <c r="I795" s="25">
        <f t="shared" ca="1" si="75"/>
        <v>9475.3761202436272</v>
      </c>
      <c r="J795" s="25">
        <f ca="1">'Single Simulation'!$AP$7*Results!E795</f>
        <v>1551529.8426516091</v>
      </c>
      <c r="K795" s="28" t="str">
        <f t="shared" ca="1" si="79"/>
        <v>No</v>
      </c>
    </row>
    <row r="796" spans="2:11" ht="11.25" hidden="1">
      <c r="B796" s="27">
        <v>794</v>
      </c>
      <c r="C796" s="29">
        <f t="shared" ca="1" si="76"/>
        <v>5.4100829118011298E-2</v>
      </c>
      <c r="D796" s="29">
        <f t="shared" ca="1" si="77"/>
        <v>3.1768149876367974E-2</v>
      </c>
      <c r="E796" s="29">
        <f t="shared" ca="1" si="78"/>
        <v>0.12911043607053596</v>
      </c>
      <c r="F796" s="30">
        <f ca="1">'Single Simulation'!$AP$4*Results!C796</f>
        <v>102580.36887990279</v>
      </c>
      <c r="G796" s="30">
        <f ca="1">'Single Simulation'!$AP$5*Results!D796</f>
        <v>30047.866038096498</v>
      </c>
      <c r="H796" s="30">
        <f t="shared" ca="1" si="74"/>
        <v>72532.502841806287</v>
      </c>
      <c r="I796" s="30">
        <f t="shared" ca="1" si="75"/>
        <v>9364.7030711929983</v>
      </c>
      <c r="J796" s="25">
        <f ca="1">'Single Simulation'!$AP$7*Results!E796</f>
        <v>1803935.4129101273</v>
      </c>
      <c r="K796" s="28" t="str">
        <f t="shared" ca="1" si="79"/>
        <v>No</v>
      </c>
    </row>
    <row r="797" spans="2:11" ht="11.25" hidden="1">
      <c r="B797" s="27">
        <v>795</v>
      </c>
      <c r="C797" s="24">
        <f t="shared" ca="1" si="76"/>
        <v>6.2034262706168207E-2</v>
      </c>
      <c r="D797" s="24">
        <f t="shared" ca="1" si="77"/>
        <v>5.1642576919061843E-2</v>
      </c>
      <c r="E797" s="24">
        <f t="shared" ca="1" si="78"/>
        <v>4.1627475391426264E-2</v>
      </c>
      <c r="F797" s="25">
        <f ca="1">'Single Simulation'!$AP$4*Results!C797</f>
        <v>117622.92104083466</v>
      </c>
      <c r="G797" s="25">
        <f ca="1">'Single Simulation'!$AP$5*Results!D797</f>
        <v>48846.068756443259</v>
      </c>
      <c r="H797" s="25">
        <f t="shared" ca="1" si="74"/>
        <v>68776.852284391396</v>
      </c>
      <c r="I797" s="25">
        <f t="shared" ca="1" si="75"/>
        <v>2863.0067259682619</v>
      </c>
      <c r="J797" s="25">
        <f ca="1">'Single Simulation'!$AP$7*Results!E797</f>
        <v>581620.5048491474</v>
      </c>
      <c r="K797" s="28" t="str">
        <f t="shared" ca="1" si="79"/>
        <v>No</v>
      </c>
    </row>
    <row r="798" spans="2:11" ht="11.25" hidden="1">
      <c r="B798" s="27">
        <v>796</v>
      </c>
      <c r="C798" s="29">
        <f t="shared" ca="1" si="76"/>
        <v>6.7461944923896219E-2</v>
      </c>
      <c r="D798" s="29">
        <f t="shared" ca="1" si="77"/>
        <v>5.2750849380982581E-2</v>
      </c>
      <c r="E798" s="29">
        <f t="shared" ca="1" si="78"/>
        <v>0.1394169944140552</v>
      </c>
      <c r="F798" s="30">
        <f ca="1">'Single Simulation'!$AP$4*Results!C798</f>
        <v>127914.32790343423</v>
      </c>
      <c r="G798" s="30">
        <f ca="1">'Single Simulation'!$AP$5*Results!D798</f>
        <v>49894.326920645581</v>
      </c>
      <c r="H798" s="30">
        <f t="shared" ca="1" si="74"/>
        <v>78020.000982788653</v>
      </c>
      <c r="I798" s="30">
        <f t="shared" ca="1" si="75"/>
        <v>10877.314041202026</v>
      </c>
      <c r="J798" s="25">
        <f ca="1">'Single Simulation'!$AP$7*Results!E798</f>
        <v>1947938.997337193</v>
      </c>
      <c r="K798" s="28" t="str">
        <f t="shared" ca="1" si="79"/>
        <v>No</v>
      </c>
    </row>
    <row r="799" spans="2:11" ht="11.25" hidden="1">
      <c r="B799" s="27">
        <v>797</v>
      </c>
      <c r="C799" s="24">
        <f t="shared" ca="1" si="76"/>
        <v>4.1707970060209321E-2</v>
      </c>
      <c r="D799" s="24">
        <f t="shared" ca="1" si="77"/>
        <v>2.3149125246531628E-2</v>
      </c>
      <c r="E799" s="24">
        <f t="shared" ca="1" si="78"/>
        <v>8.1317930365957233E-2</v>
      </c>
      <c r="F799" s="25">
        <f ca="1">'Single Simulation'!$AP$4*Results!C799</f>
        <v>79082.317660522473</v>
      </c>
      <c r="G799" s="25">
        <f ca="1">'Single Simulation'!$AP$5*Results!D799</f>
        <v>21895.572043505643</v>
      </c>
      <c r="H799" s="25">
        <f t="shared" ca="1" si="74"/>
        <v>57186.74561701683</v>
      </c>
      <c r="I799" s="25">
        <f t="shared" ca="1" si="75"/>
        <v>4650.3077979402842</v>
      </c>
      <c r="J799" s="25">
        <f ca="1">'Single Simulation'!$AP$7*Results!E799</f>
        <v>1136176.8944190438</v>
      </c>
      <c r="K799" s="28" t="str">
        <f t="shared" ca="1" si="79"/>
        <v>No</v>
      </c>
    </row>
    <row r="800" spans="2:11" ht="11.25" hidden="1">
      <c r="B800" s="27">
        <v>798</v>
      </c>
      <c r="C800" s="29">
        <f t="shared" ca="1" si="76"/>
        <v>3.5747835165482605E-2</v>
      </c>
      <c r="D800" s="29">
        <f t="shared" ca="1" si="77"/>
        <v>5.0955870189836404E-2</v>
      </c>
      <c r="E800" s="29">
        <f t="shared" ca="1" si="78"/>
        <v>0.11832085771034054</v>
      </c>
      <c r="F800" s="30">
        <f ca="1">'Single Simulation'!$AP$4*Results!C800</f>
        <v>67781.329375455665</v>
      </c>
      <c r="G800" s="30">
        <f ca="1">'Single Simulation'!$AP$5*Results!D800</f>
        <v>48196.548029314763</v>
      </c>
      <c r="H800" s="30">
        <f t="shared" ca="1" si="74"/>
        <v>19584.781346140902</v>
      </c>
      <c r="I800" s="30">
        <f t="shared" ca="1" si="75"/>
        <v>2317.2881269448694</v>
      </c>
      <c r="J800" s="25">
        <f ca="1">'Single Simulation'!$AP$7*Results!E800</f>
        <v>1653183.0563485567</v>
      </c>
      <c r="K800" s="28" t="str">
        <f t="shared" ca="1" si="79"/>
        <v>No</v>
      </c>
    </row>
    <row r="801" spans="2:11" ht="11.25" hidden="1">
      <c r="B801" s="27">
        <v>799</v>
      </c>
      <c r="C801" s="24">
        <f t="shared" ca="1" si="76"/>
        <v>7.3953520860524521E-2</v>
      </c>
      <c r="D801" s="24">
        <f t="shared" ca="1" si="77"/>
        <v>5.352324913321331E-2</v>
      </c>
      <c r="E801" s="24">
        <f t="shared" ca="1" si="78"/>
        <v>0.14870315828923847</v>
      </c>
      <c r="F801" s="25">
        <f ca="1">'Single Simulation'!$AP$4*Results!C801</f>
        <v>140222.97945364748</v>
      </c>
      <c r="G801" s="25">
        <f ca="1">'Single Simulation'!$AP$5*Results!D801</f>
        <v>50624.900289671161</v>
      </c>
      <c r="H801" s="25">
        <f t="shared" ca="1" si="74"/>
        <v>89598.079163976319</v>
      </c>
      <c r="I801" s="25">
        <f t="shared" ca="1" si="75"/>
        <v>13323.517348332489</v>
      </c>
      <c r="J801" s="25">
        <f ca="1">'Single Simulation'!$AP$7*Results!E801</f>
        <v>2077685.5954772383</v>
      </c>
      <c r="K801" s="28" t="str">
        <f t="shared" ca="1" si="79"/>
        <v>No</v>
      </c>
    </row>
    <row r="802" spans="2:11" ht="11.25" hidden="1">
      <c r="B802" s="27">
        <v>800</v>
      </c>
      <c r="C802" s="29">
        <f t="shared" ca="1" si="76"/>
        <v>5.4911426791247823E-2</v>
      </c>
      <c r="D802" s="29">
        <f t="shared" ca="1" si="77"/>
        <v>3.7377473104961652E-2</v>
      </c>
      <c r="E802" s="29">
        <f t="shared" ca="1" si="78"/>
        <v>1.5699340923479292E-2</v>
      </c>
      <c r="F802" s="30">
        <f ca="1">'Single Simulation'!$AP$4*Results!C802</f>
        <v>104117.33993357026</v>
      </c>
      <c r="G802" s="30">
        <f ca="1">'Single Simulation'!$AP$5*Results!D802</f>
        <v>35353.437611924506</v>
      </c>
      <c r="H802" s="30">
        <f t="shared" ca="1" si="74"/>
        <v>68763.902321645757</v>
      </c>
      <c r="I802" s="30">
        <f t="shared" ca="1" si="75"/>
        <v>1079.5479457763458</v>
      </c>
      <c r="J802" s="25">
        <f ca="1">'Single Simulation'!$AP$7*Results!E802</f>
        <v>219351.72642234198</v>
      </c>
      <c r="K802" s="28" t="str">
        <f t="shared" ca="1" si="79"/>
        <v>No</v>
      </c>
    </row>
    <row r="803" spans="2:11" ht="11.25" hidden="1">
      <c r="B803" s="27">
        <v>801</v>
      </c>
      <c r="C803" s="24">
        <f t="shared" ca="1" si="76"/>
        <v>5.9298587882506845E-2</v>
      </c>
      <c r="D803" s="24">
        <f t="shared" ca="1" si="77"/>
        <v>4.4370246157535431E-2</v>
      </c>
      <c r="E803" s="24">
        <f t="shared" ca="1" si="78"/>
        <v>-1.0859567881221915E-3</v>
      </c>
      <c r="F803" s="25">
        <f ca="1">'Single Simulation'!$AP$4*Results!C803</f>
        <v>112435.81878895401</v>
      </c>
      <c r="G803" s="25">
        <f ca="1">'Single Simulation'!$AP$5*Results!D803</f>
        <v>41967.543524175089</v>
      </c>
      <c r="H803" s="25">
        <f t="shared" ca="1" si="74"/>
        <v>70468.275264778931</v>
      </c>
      <c r="I803" s="25">
        <f t="shared" ca="1" si="75"/>
        <v>-76.525501871049798</v>
      </c>
      <c r="J803" s="25">
        <f ca="1">'Single Simulation'!$AP$7*Results!E803</f>
        <v>-15173.025253462218</v>
      </c>
      <c r="K803" s="28" t="str">
        <f t="shared" ca="1" si="79"/>
        <v>No</v>
      </c>
    </row>
    <row r="804" spans="2:11" ht="11.25" hidden="1">
      <c r="B804" s="27">
        <v>802</v>
      </c>
      <c r="C804" s="29">
        <f t="shared" ca="1" si="76"/>
        <v>4.5492437389284268E-2</v>
      </c>
      <c r="D804" s="29">
        <f t="shared" ca="1" si="77"/>
        <v>6.4714960852612941E-2</v>
      </c>
      <c r="E804" s="29">
        <f t="shared" ca="1" si="78"/>
        <v>9.7930115178873622E-2</v>
      </c>
      <c r="F804" s="30">
        <f ca="1">'Single Simulation'!$AP$4*Results!C804</f>
        <v>86258.031248638348</v>
      </c>
      <c r="G804" s="30">
        <f ca="1">'Single Simulation'!$AP$5*Results!D804</f>
        <v>61210.567248252075</v>
      </c>
      <c r="H804" s="30">
        <f t="shared" ca="1" si="74"/>
        <v>25047.464000386273</v>
      </c>
      <c r="I804" s="30">
        <f t="shared" ca="1" si="75"/>
        <v>2452.9010344965186</v>
      </c>
      <c r="J804" s="25">
        <f ca="1">'Single Simulation'!$AP$7*Results!E804</f>
        <v>1368282.9067746666</v>
      </c>
      <c r="K804" s="28" t="str">
        <f t="shared" ca="1" si="79"/>
        <v>No</v>
      </c>
    </row>
    <row r="805" spans="2:11" ht="11.25" hidden="1">
      <c r="B805" s="27">
        <v>803</v>
      </c>
      <c r="C805" s="24">
        <f t="shared" ca="1" si="76"/>
        <v>8.2837813246211048E-2</v>
      </c>
      <c r="D805" s="24">
        <f t="shared" ca="1" si="77"/>
        <v>5.2130613703763533E-2</v>
      </c>
      <c r="E805" s="24">
        <f t="shared" ca="1" si="78"/>
        <v>3.9490952217937025E-2</v>
      </c>
      <c r="F805" s="25">
        <f ca="1">'Single Simulation'!$AP$4*Results!C805</f>
        <v>157068.45123325143</v>
      </c>
      <c r="G805" s="25">
        <f ca="1">'Single Simulation'!$AP$5*Results!D805</f>
        <v>49307.677757453683</v>
      </c>
      <c r="H805" s="25">
        <f t="shared" ca="1" si="74"/>
        <v>107760.77347579775</v>
      </c>
      <c r="I805" s="25">
        <f t="shared" ca="1" si="75"/>
        <v>4255.5755563006642</v>
      </c>
      <c r="J805" s="25">
        <f ca="1">'Single Simulation'!$AP$7*Results!E805</f>
        <v>551768.93025563622</v>
      </c>
      <c r="K805" s="28" t="str">
        <f t="shared" ca="1" si="79"/>
        <v>No</v>
      </c>
    </row>
    <row r="806" spans="2:11" ht="11.25" hidden="1">
      <c r="B806" s="27">
        <v>804</v>
      </c>
      <c r="C806" s="29">
        <f t="shared" ca="1" si="76"/>
        <v>3.7667327630763678E-2</v>
      </c>
      <c r="D806" s="29">
        <f t="shared" ca="1" si="77"/>
        <v>6.1503121777906927E-2</v>
      </c>
      <c r="E806" s="29">
        <f t="shared" ca="1" si="78"/>
        <v>0.1105182183953009</v>
      </c>
      <c r="F806" s="30">
        <f ca="1">'Single Simulation'!$AP$4*Results!C806</f>
        <v>71420.871474176907</v>
      </c>
      <c r="G806" s="30">
        <f ca="1">'Single Simulation'!$AP$5*Results!D806</f>
        <v>58172.653154158666</v>
      </c>
      <c r="H806" s="30">
        <f t="shared" ca="1" si="74"/>
        <v>13248.218320018241</v>
      </c>
      <c r="I806" s="30">
        <f t="shared" ca="1" si="75"/>
        <v>1464.1694856404024</v>
      </c>
      <c r="J806" s="25">
        <f ca="1">'Single Simulation'!$AP$7*Results!E806</f>
        <v>1544164.3139219177</v>
      </c>
      <c r="K806" s="28" t="str">
        <f t="shared" ca="1" si="79"/>
        <v>No</v>
      </c>
    </row>
    <row r="807" spans="2:11" ht="11.25" hidden="1">
      <c r="B807" s="27">
        <v>805</v>
      </c>
      <c r="C807" s="24">
        <f t="shared" ca="1" si="76"/>
        <v>4.0321325042629884E-2</v>
      </c>
      <c r="D807" s="24">
        <f t="shared" ca="1" si="77"/>
        <v>3.7998666157417836E-2</v>
      </c>
      <c r="E807" s="24">
        <f t="shared" ca="1" si="78"/>
        <v>0.10352007042781845</v>
      </c>
      <c r="F807" s="25">
        <f ca="1">'Single Simulation'!$AP$4*Results!C807</f>
        <v>76453.105507442509</v>
      </c>
      <c r="G807" s="25">
        <f ca="1">'Single Simulation'!$AP$5*Results!D807</f>
        <v>35940.992307323526</v>
      </c>
      <c r="H807" s="25">
        <f t="shared" ca="1" si="74"/>
        <v>40512.113200118984</v>
      </c>
      <c r="I807" s="25">
        <f t="shared" ca="1" si="75"/>
        <v>4193.816811656071</v>
      </c>
      <c r="J807" s="25">
        <f ca="1">'Single Simulation'!$AP$7*Results!E807</f>
        <v>1446385.9520207176</v>
      </c>
      <c r="K807" s="28" t="str">
        <f t="shared" ca="1" si="79"/>
        <v>No</v>
      </c>
    </row>
    <row r="808" spans="2:11" ht="11.25" hidden="1">
      <c r="B808" s="27">
        <v>806</v>
      </c>
      <c r="C808" s="29">
        <f t="shared" ca="1" si="76"/>
        <v>5.7514764031776286E-2</v>
      </c>
      <c r="D808" s="29">
        <f t="shared" ca="1" si="77"/>
        <v>4.5227652072934339E-2</v>
      </c>
      <c r="E808" s="29">
        <f t="shared" ca="1" si="78"/>
        <v>0.10108265649812355</v>
      </c>
      <c r="F808" s="30">
        <f ca="1">'Single Simulation'!$AP$4*Results!C808</f>
        <v>109053.51741561352</v>
      </c>
      <c r="G808" s="30">
        <f ca="1">'Single Simulation'!$AP$5*Results!D808</f>
        <v>42778.519869553733</v>
      </c>
      <c r="H808" s="30">
        <f t="shared" ca="1" si="74"/>
        <v>66274.997546059778</v>
      </c>
      <c r="I808" s="30">
        <f t="shared" ca="1" si="75"/>
        <v>6699.2528113623421</v>
      </c>
      <c r="J808" s="25">
        <f ca="1">'Single Simulation'!$AP$7*Results!E808</f>
        <v>1412330.3215270299</v>
      </c>
      <c r="K808" s="28" t="str">
        <f t="shared" ca="1" si="79"/>
        <v>No</v>
      </c>
    </row>
    <row r="809" spans="2:11" ht="11.25" hidden="1">
      <c r="B809" s="27">
        <v>807</v>
      </c>
      <c r="C809" s="24">
        <f t="shared" ca="1" si="76"/>
        <v>7.9569527947465357E-2</v>
      </c>
      <c r="D809" s="24">
        <f t="shared" ca="1" si="77"/>
        <v>3.8403865547067123E-2</v>
      </c>
      <c r="E809" s="24">
        <f t="shared" ca="1" si="78"/>
        <v>0.11963167999066793</v>
      </c>
      <c r="F809" s="25">
        <f ca="1">'Single Simulation'!$AP$4*Results!C809</f>
        <v>150871.46835857528</v>
      </c>
      <c r="G809" s="25">
        <f ca="1">'Single Simulation'!$AP$5*Results!D809</f>
        <v>36324.249658673325</v>
      </c>
      <c r="H809" s="25">
        <f t="shared" ca="1" si="74"/>
        <v>114547.21869990195</v>
      </c>
      <c r="I809" s="25">
        <f t="shared" ca="1" si="75"/>
        <v>13703.476211327723</v>
      </c>
      <c r="J809" s="25">
        <f ca="1">'Single Simulation'!$AP$7*Results!E809</f>
        <v>1671497.9099226112</v>
      </c>
      <c r="K809" s="28" t="str">
        <f t="shared" ca="1" si="79"/>
        <v>No</v>
      </c>
    </row>
    <row r="810" spans="2:11" ht="11.25" hidden="1">
      <c r="B810" s="27">
        <v>808</v>
      </c>
      <c r="C810" s="29">
        <f t="shared" ca="1" si="76"/>
        <v>7.4405429885824548E-2</v>
      </c>
      <c r="D810" s="29">
        <f t="shared" ca="1" si="77"/>
        <v>6.5236475926606474E-2</v>
      </c>
      <c r="E810" s="29">
        <f t="shared" ca="1" si="78"/>
        <v>5.9006103406148827E-2</v>
      </c>
      <c r="F810" s="30">
        <f ca="1">'Single Simulation'!$AP$4*Results!C810</f>
        <v>141079.84237555048</v>
      </c>
      <c r="G810" s="30">
        <f ca="1">'Single Simulation'!$AP$5*Results!D810</f>
        <v>61703.841648592992</v>
      </c>
      <c r="H810" s="30">
        <f t="shared" ca="1" si="74"/>
        <v>79376.000726957485</v>
      </c>
      <c r="I810" s="30">
        <f t="shared" ca="1" si="75"/>
        <v>4683.6685068613979</v>
      </c>
      <c r="J810" s="25">
        <f ca="1">'Single Simulation'!$AP$7*Results!E810</f>
        <v>824435.28774108097</v>
      </c>
      <c r="K810" s="28" t="str">
        <f t="shared" ca="1" si="79"/>
        <v>No</v>
      </c>
    </row>
    <row r="811" spans="2:11" ht="11.25" hidden="1">
      <c r="B811" s="27">
        <v>809</v>
      </c>
      <c r="C811" s="24">
        <f t="shared" ca="1" si="76"/>
        <v>5.9864296715884065E-2</v>
      </c>
      <c r="D811" s="24">
        <f t="shared" ca="1" si="77"/>
        <v>4.6878620872765633E-2</v>
      </c>
      <c r="E811" s="24">
        <f t="shared" ca="1" si="78"/>
        <v>0.11932471875614145</v>
      </c>
      <c r="F811" s="25">
        <f ca="1">'Single Simulation'!$AP$4*Results!C811</f>
        <v>113508.45707846842</v>
      </c>
      <c r="G811" s="25">
        <f ca="1">'Single Simulation'!$AP$5*Results!D811</f>
        <v>44340.086706888214</v>
      </c>
      <c r="H811" s="25">
        <f t="shared" ca="1" si="74"/>
        <v>69168.370371580211</v>
      </c>
      <c r="I811" s="25">
        <f t="shared" ca="1" si="75"/>
        <v>8253.4963414094364</v>
      </c>
      <c r="J811" s="25">
        <f ca="1">'Single Simulation'!$AP$7*Results!E811</f>
        <v>1667209.0370924522</v>
      </c>
      <c r="K811" s="28" t="str">
        <f t="shared" ca="1" si="79"/>
        <v>No</v>
      </c>
    </row>
    <row r="812" spans="2:11" ht="11.25" hidden="1">
      <c r="B812" s="27">
        <v>810</v>
      </c>
      <c r="C812" s="29">
        <f t="shared" ca="1" si="76"/>
        <v>8.0885419335325226E-2</v>
      </c>
      <c r="D812" s="29">
        <f t="shared" ca="1" si="77"/>
        <v>5.0582067193195024E-2</v>
      </c>
      <c r="E812" s="29">
        <f t="shared" ca="1" si="78"/>
        <v>3.0903217449130847E-2</v>
      </c>
      <c r="F812" s="30">
        <f ca="1">'Single Simulation'!$AP$4*Results!C812</f>
        <v>153366.52483318324</v>
      </c>
      <c r="G812" s="30">
        <f ca="1">'Single Simulation'!$AP$5*Results!D812</f>
        <v>47842.986918219824</v>
      </c>
      <c r="H812" s="30">
        <f t="shared" ca="1" si="74"/>
        <v>105523.53791496341</v>
      </c>
      <c r="I812" s="30">
        <f t="shared" ca="1" si="75"/>
        <v>3261.0168381877179</v>
      </c>
      <c r="J812" s="25">
        <f ca="1">'Single Simulation'!$AP$7*Results!E812</f>
        <v>431780.80739262031</v>
      </c>
      <c r="K812" s="28" t="str">
        <f t="shared" ca="1" si="79"/>
        <v>No</v>
      </c>
    </row>
    <row r="813" spans="2:11" ht="11.25" hidden="1">
      <c r="B813" s="27">
        <v>811</v>
      </c>
      <c r="C813" s="24">
        <f t="shared" ca="1" si="76"/>
        <v>9.4871371940317792E-2</v>
      </c>
      <c r="D813" s="24">
        <f t="shared" ca="1" si="77"/>
        <v>5.5807638344046374E-2</v>
      </c>
      <c r="E813" s="24">
        <f t="shared" ca="1" si="78"/>
        <v>6.2666042452857826E-2</v>
      </c>
      <c r="F813" s="25">
        <f ca="1">'Single Simulation'!$AP$4*Results!C813</f>
        <v>179885.23444902789</v>
      </c>
      <c r="G813" s="25">
        <f ca="1">'Single Simulation'!$AP$5*Results!D813</f>
        <v>52785.587054657954</v>
      </c>
      <c r="H813" s="25">
        <f t="shared" ca="1" si="74"/>
        <v>127099.64739436994</v>
      </c>
      <c r="I813" s="25">
        <f t="shared" ca="1" si="75"/>
        <v>7964.8318993588473</v>
      </c>
      <c r="J813" s="25">
        <f ca="1">'Single Simulation'!$AP$7*Results!E813</f>
        <v>875572.0808338091</v>
      </c>
      <c r="K813" s="28" t="str">
        <f t="shared" ca="1" si="79"/>
        <v>No</v>
      </c>
    </row>
    <row r="814" spans="2:11" ht="11.25" hidden="1">
      <c r="B814" s="27">
        <v>812</v>
      </c>
      <c r="C814" s="29">
        <f t="shared" ca="1" si="76"/>
        <v>6.5537992846618709E-2</v>
      </c>
      <c r="D814" s="29">
        <f t="shared" ca="1" si="77"/>
        <v>4.0271558466648531E-2</v>
      </c>
      <c r="E814" s="29">
        <f t="shared" ca="1" si="78"/>
        <v>0.13296814840097371</v>
      </c>
      <c r="F814" s="30">
        <f ca="1">'Single Simulation'!$AP$4*Results!C814</f>
        <v>124266.32995198181</v>
      </c>
      <c r="G814" s="30">
        <f ca="1">'Single Simulation'!$AP$5*Results!D814</f>
        <v>38090.804741870998</v>
      </c>
      <c r="H814" s="30">
        <f t="shared" ca="1" si="74"/>
        <v>86175.52521011082</v>
      </c>
      <c r="I814" s="30">
        <f t="shared" ca="1" si="75"/>
        <v>11458.600024669866</v>
      </c>
      <c r="J814" s="25">
        <f ca="1">'Single Simulation'!$AP$7*Results!E814</f>
        <v>1857835.5010633019</v>
      </c>
      <c r="K814" s="28" t="str">
        <f t="shared" ca="1" si="79"/>
        <v>No</v>
      </c>
    </row>
    <row r="815" spans="2:11" ht="11.25" hidden="1">
      <c r="B815" s="27">
        <v>813</v>
      </c>
      <c r="C815" s="24">
        <f t="shared" ca="1" si="76"/>
        <v>6.9045910159043211E-2</v>
      </c>
      <c r="D815" s="24">
        <f t="shared" ca="1" si="77"/>
        <v>5.7435756009907676E-2</v>
      </c>
      <c r="E815" s="24">
        <f t="shared" ca="1" si="78"/>
        <v>0.10464921097487975</v>
      </c>
      <c r="F815" s="25">
        <f ca="1">'Single Simulation'!$AP$4*Results!C815</f>
        <v>130917.67814340728</v>
      </c>
      <c r="G815" s="25">
        <f ca="1">'Single Simulation'!$AP$5*Results!D815</f>
        <v>54325.540174636488</v>
      </c>
      <c r="H815" s="25">
        <f t="shared" ca="1" si="74"/>
        <v>76592.137968770781</v>
      </c>
      <c r="I815" s="25">
        <f t="shared" ca="1" si="75"/>
        <v>8015.3068053109919</v>
      </c>
      <c r="J815" s="25">
        <f ca="1">'Single Simulation'!$AP$7*Results!E815</f>
        <v>1462162.3422257958</v>
      </c>
      <c r="K815" s="28" t="str">
        <f t="shared" ca="1" si="79"/>
        <v>No</v>
      </c>
    </row>
    <row r="816" spans="2:11" ht="11.25" hidden="1">
      <c r="B816" s="27">
        <v>814</v>
      </c>
      <c r="C816" s="29">
        <f t="shared" ca="1" si="76"/>
        <v>5.7257019742102851E-2</v>
      </c>
      <c r="D816" s="29">
        <f t="shared" ca="1" si="77"/>
        <v>4.6474350110328057E-2</v>
      </c>
      <c r="E816" s="29">
        <f t="shared" ca="1" si="78"/>
        <v>4.7719406819619718E-2</v>
      </c>
      <c r="F816" s="30">
        <f ca="1">'Single Simulation'!$AP$4*Results!C816</f>
        <v>108564.80948373106</v>
      </c>
      <c r="G816" s="30">
        <f ca="1">'Single Simulation'!$AP$5*Results!D816</f>
        <v>43957.707696460544</v>
      </c>
      <c r="H816" s="30">
        <f t="shared" ca="1" si="74"/>
        <v>64607.10178727052</v>
      </c>
      <c r="I816" s="30">
        <f t="shared" ca="1" si="75"/>
        <v>3083.0125736233422</v>
      </c>
      <c r="J816" s="25">
        <f ca="1">'Single Simulation'!$AP$7*Results!E816</f>
        <v>666737.17837919854</v>
      </c>
      <c r="K816" s="28" t="str">
        <f t="shared" ca="1" si="79"/>
        <v>No</v>
      </c>
    </row>
    <row r="817" spans="2:11" ht="11.25" hidden="1">
      <c r="B817" s="27">
        <v>815</v>
      </c>
      <c r="C817" s="24">
        <f t="shared" ca="1" si="76"/>
        <v>7.7928337564080602E-2</v>
      </c>
      <c r="D817" s="24">
        <f t="shared" ca="1" si="77"/>
        <v>6.4161346770807884E-2</v>
      </c>
      <c r="E817" s="24">
        <f t="shared" ca="1" si="78"/>
        <v>7.3519367493503088E-2</v>
      </c>
      <c r="F817" s="25">
        <f ca="1">'Single Simulation'!$AP$4*Results!C817</f>
        <v>147759.61374055227</v>
      </c>
      <c r="G817" s="25">
        <f ca="1">'Single Simulation'!$AP$5*Results!D817</f>
        <v>60686.932040296299</v>
      </c>
      <c r="H817" s="25">
        <f t="shared" ca="1" si="74"/>
        <v>87072.681700255984</v>
      </c>
      <c r="I817" s="25">
        <f t="shared" ca="1" si="75"/>
        <v>6401.5284845659407</v>
      </c>
      <c r="J817" s="25">
        <f ca="1">'Single Simulation'!$AP$7*Results!E817</f>
        <v>1027215.1081871359</v>
      </c>
      <c r="K817" s="28" t="str">
        <f t="shared" ca="1" si="79"/>
        <v>No</v>
      </c>
    </row>
    <row r="818" spans="2:11" ht="11.25" hidden="1">
      <c r="B818" s="27">
        <v>816</v>
      </c>
      <c r="C818" s="29">
        <f t="shared" ca="1" si="76"/>
        <v>4.0098458037498459E-2</v>
      </c>
      <c r="D818" s="29">
        <f t="shared" ca="1" si="77"/>
        <v>5.224651180388723E-2</v>
      </c>
      <c r="E818" s="29">
        <f t="shared" ca="1" si="78"/>
        <v>8.4694311214585954E-2</v>
      </c>
      <c r="F818" s="30">
        <f ca="1">'Single Simulation'!$AP$4*Results!C818</f>
        <v>76030.528257329162</v>
      </c>
      <c r="G818" s="30">
        <f ca="1">'Single Simulation'!$AP$5*Results!D818</f>
        <v>49417.299834916157</v>
      </c>
      <c r="H818" s="30">
        <f t="shared" ca="1" si="74"/>
        <v>26613.228422413005</v>
      </c>
      <c r="I818" s="30">
        <f t="shared" ca="1" si="75"/>
        <v>2253.9890504327113</v>
      </c>
      <c r="J818" s="25">
        <f ca="1">'Single Simulation'!$AP$7*Results!E818</f>
        <v>1183351.8027044234</v>
      </c>
      <c r="K818" s="28" t="str">
        <f t="shared" ca="1" si="79"/>
        <v>No</v>
      </c>
    </row>
    <row r="819" spans="2:11" ht="11.25" hidden="1">
      <c r="B819" s="27">
        <v>817</v>
      </c>
      <c r="C819" s="24">
        <f t="shared" ca="1" si="76"/>
        <v>5.28098003182884E-2</v>
      </c>
      <c r="D819" s="24">
        <f t="shared" ca="1" si="77"/>
        <v>4.6500510476061206E-2</v>
      </c>
      <c r="E819" s="24">
        <f t="shared" ca="1" si="78"/>
        <v>9.9623690691538383E-2</v>
      </c>
      <c r="F819" s="25">
        <f ca="1">'Single Simulation'!$AP$4*Results!C819</f>
        <v>100132.45426067816</v>
      </c>
      <c r="G819" s="25">
        <f ca="1">'Single Simulation'!$AP$5*Results!D819</f>
        <v>43982.451446666848</v>
      </c>
      <c r="H819" s="25">
        <f t="shared" ref="H819:H882" ca="1" si="80">F819-G819</f>
        <v>56150.002814011314</v>
      </c>
      <c r="I819" s="25">
        <f t="shared" ref="I819:I882" ca="1" si="81">H819*E819</f>
        <v>5593.8705126720733</v>
      </c>
      <c r="J819" s="25">
        <f ca="1">'Single Simulation'!$AP$7*Results!E819</f>
        <v>1391945.6015553141</v>
      </c>
      <c r="K819" s="28" t="str">
        <f t="shared" ca="1" si="79"/>
        <v>No</v>
      </c>
    </row>
    <row r="820" spans="2:11" ht="11.25" hidden="1">
      <c r="B820" s="27">
        <v>818</v>
      </c>
      <c r="C820" s="29">
        <f t="shared" ca="1" si="76"/>
        <v>6.9483050259759691E-2</v>
      </c>
      <c r="D820" s="29">
        <f t="shared" ca="1" si="77"/>
        <v>5.5466073156529509E-2</v>
      </c>
      <c r="E820" s="29">
        <f t="shared" ca="1" si="78"/>
        <v>0.11061501352808684</v>
      </c>
      <c r="F820" s="30">
        <f ca="1">'Single Simulation'!$AP$4*Results!C820</f>
        <v>131746.53776561157</v>
      </c>
      <c r="G820" s="30">
        <f ca="1">'Single Simulation'!$AP$5*Results!D820</f>
        <v>52462.51803623145</v>
      </c>
      <c r="H820" s="30">
        <f t="shared" ca="1" si="80"/>
        <v>79284.019729380117</v>
      </c>
      <c r="I820" s="30">
        <f t="shared" ca="1" si="81"/>
        <v>8770.0029149264847</v>
      </c>
      <c r="J820" s="25">
        <f ca="1">'Single Simulation'!$AP$7*Results!E820</f>
        <v>1545516.7388160175</v>
      </c>
      <c r="K820" s="28" t="str">
        <f t="shared" ca="1" si="79"/>
        <v>No</v>
      </c>
    </row>
    <row r="821" spans="2:11" ht="11.25" hidden="1">
      <c r="B821" s="27">
        <v>819</v>
      </c>
      <c r="C821" s="24">
        <f t="shared" ca="1" si="76"/>
        <v>8.501754688229704E-2</v>
      </c>
      <c r="D821" s="24">
        <f t="shared" ca="1" si="77"/>
        <v>6.7934198644771224E-2</v>
      </c>
      <c r="E821" s="24">
        <f t="shared" ca="1" si="78"/>
        <v>-1.2391263527345986E-3</v>
      </c>
      <c r="F821" s="25">
        <f ca="1">'Single Simulation'!$AP$4*Results!C821</f>
        <v>161201.43559032836</v>
      </c>
      <c r="G821" s="25">
        <f ca="1">'Single Simulation'!$AP$5*Results!D821</f>
        <v>64255.479410275933</v>
      </c>
      <c r="H821" s="25">
        <f t="shared" ca="1" si="80"/>
        <v>96945.956180052424</v>
      </c>
      <c r="I821" s="25">
        <f t="shared" ca="1" si="81"/>
        <v>-120.12828909375658</v>
      </c>
      <c r="J821" s="25">
        <f ca="1">'Single Simulation'!$AP$7*Results!E821</f>
        <v>-17313.115630303586</v>
      </c>
      <c r="K821" s="28" t="str">
        <f t="shared" ca="1" si="79"/>
        <v>No</v>
      </c>
    </row>
    <row r="822" spans="2:11" ht="11.25" hidden="1">
      <c r="B822" s="27">
        <v>820</v>
      </c>
      <c r="C822" s="29">
        <f t="shared" ca="1" si="76"/>
        <v>6.605179531972645E-2</v>
      </c>
      <c r="D822" s="29">
        <f t="shared" ca="1" si="77"/>
        <v>3.9132659732559076E-2</v>
      </c>
      <c r="E822" s="29">
        <f t="shared" ca="1" si="78"/>
        <v>3.5682742292594084E-2</v>
      </c>
      <c r="F822" s="30">
        <f ca="1">'Single Simulation'!$AP$4*Results!C822</f>
        <v>125240.54879635164</v>
      </c>
      <c r="G822" s="30">
        <f ca="1">'Single Simulation'!$AP$5*Results!D822</f>
        <v>37013.57875527571</v>
      </c>
      <c r="H822" s="30">
        <f t="shared" ca="1" si="80"/>
        <v>88226.970041075925</v>
      </c>
      <c r="I822" s="30">
        <f t="shared" ca="1" si="81"/>
        <v>3148.1802352321311</v>
      </c>
      <c r="J822" s="25">
        <f ca="1">'Single Simulation'!$AP$7*Results!E822</f>
        <v>498560.49139350699</v>
      </c>
      <c r="K822" s="28" t="str">
        <f t="shared" ca="1" si="79"/>
        <v>No</v>
      </c>
    </row>
    <row r="823" spans="2:11" ht="11.25" hidden="1">
      <c r="B823" s="27">
        <v>821</v>
      </c>
      <c r="C823" s="24">
        <f t="shared" ca="1" si="76"/>
        <v>5.7251001908678822E-2</v>
      </c>
      <c r="D823" s="24">
        <f t="shared" ca="1" si="77"/>
        <v>6.6373548251650261E-2</v>
      </c>
      <c r="E823" s="24">
        <f t="shared" ca="1" si="78"/>
        <v>2.5425277611036169E-2</v>
      </c>
      <c r="F823" s="25">
        <f ca="1">'Single Simulation'!$AP$4*Results!C823</f>
        <v>108553.39909349197</v>
      </c>
      <c r="G823" s="25">
        <f ca="1">'Single Simulation'!$AP$5*Results!D823</f>
        <v>62779.340128407166</v>
      </c>
      <c r="H823" s="25">
        <f t="shared" ca="1" si="80"/>
        <v>45774.058965084805</v>
      </c>
      <c r="I823" s="25">
        <f t="shared" ca="1" si="81"/>
        <v>1163.8181565712202</v>
      </c>
      <c r="J823" s="25">
        <f ca="1">'Single Simulation'!$AP$7*Results!E823</f>
        <v>355242.84528449544</v>
      </c>
      <c r="K823" s="28" t="str">
        <f t="shared" ca="1" si="79"/>
        <v>No</v>
      </c>
    </row>
    <row r="824" spans="2:11" ht="11.25" hidden="1">
      <c r="B824" s="27">
        <v>822</v>
      </c>
      <c r="C824" s="29">
        <f t="shared" ca="1" si="76"/>
        <v>3.5403490512186046E-2</v>
      </c>
      <c r="D824" s="29">
        <f t="shared" ca="1" si="77"/>
        <v>4.6777855354985076E-2</v>
      </c>
      <c r="E824" s="29">
        <f t="shared" ca="1" si="78"/>
        <v>0.1375259329753499</v>
      </c>
      <c r="F824" s="30">
        <f ca="1">'Single Simulation'!$AP$4*Results!C824</f>
        <v>67128.418835398465</v>
      </c>
      <c r="G824" s="30">
        <f ca="1">'Single Simulation'!$AP$5*Results!D824</f>
        <v>44244.777764085033</v>
      </c>
      <c r="H824" s="30">
        <f t="shared" ca="1" si="80"/>
        <v>22883.641071313432</v>
      </c>
      <c r="I824" s="30">
        <f t="shared" ca="1" si="81"/>
        <v>3147.0940882054151</v>
      </c>
      <c r="J824" s="25">
        <f ca="1">'Single Simulation'!$AP$7*Results!E824</f>
        <v>1921517.0224675122</v>
      </c>
      <c r="K824" s="28" t="str">
        <f t="shared" ca="1" si="79"/>
        <v>No</v>
      </c>
    </row>
    <row r="825" spans="2:11" ht="11.25" hidden="1">
      <c r="B825" s="27">
        <v>823</v>
      </c>
      <c r="C825" s="24">
        <f t="shared" ca="1" si="76"/>
        <v>5.9109630257070535E-2</v>
      </c>
      <c r="D825" s="24">
        <f t="shared" ca="1" si="77"/>
        <v>3.5213337802384899E-2</v>
      </c>
      <c r="E825" s="24">
        <f t="shared" ca="1" si="78"/>
        <v>4.1504900879042544E-2</v>
      </c>
      <c r="F825" s="25">
        <f ca="1">'Single Simulation'!$AP$4*Results!C825</f>
        <v>112077.53698004411</v>
      </c>
      <c r="G825" s="25">
        <f ca="1">'Single Simulation'!$AP$5*Results!D825</f>
        <v>33306.49286024052</v>
      </c>
      <c r="H825" s="25">
        <f t="shared" ca="1" si="80"/>
        <v>78771.044119803584</v>
      </c>
      <c r="I825" s="25">
        <f t="shared" ca="1" si="81"/>
        <v>3269.3843783311349</v>
      </c>
      <c r="J825" s="25">
        <f ca="1">'Single Simulation'!$AP$7*Results!E825</f>
        <v>579907.88958473632</v>
      </c>
      <c r="K825" s="28" t="str">
        <f t="shared" ca="1" si="79"/>
        <v>No</v>
      </c>
    </row>
    <row r="826" spans="2:11" ht="11.25" hidden="1">
      <c r="B826" s="27">
        <v>824</v>
      </c>
      <c r="C826" s="29">
        <f t="shared" ca="1" si="76"/>
        <v>8.7967113878811481E-2</v>
      </c>
      <c r="D826" s="29">
        <f t="shared" ca="1" si="77"/>
        <v>2.658047090501971E-2</v>
      </c>
      <c r="E826" s="29">
        <f t="shared" ca="1" si="78"/>
        <v>0.14733964009958692</v>
      </c>
      <c r="F826" s="30">
        <f ca="1">'Single Simulation'!$AP$4*Results!C826</f>
        <v>166794.09794820906</v>
      </c>
      <c r="G826" s="30">
        <f ca="1">'Single Simulation'!$AP$5*Results!D826</f>
        <v>25141.106173692824</v>
      </c>
      <c r="H826" s="30">
        <f t="shared" ca="1" si="80"/>
        <v>141652.99177451624</v>
      </c>
      <c r="I826" s="30">
        <f t="shared" ca="1" si="81"/>
        <v>20871.100827086968</v>
      </c>
      <c r="J826" s="25">
        <f ca="1">'Single Simulation'!$AP$7*Results!E826</f>
        <v>2058634.4728622101</v>
      </c>
      <c r="K826" s="28" t="str">
        <f t="shared" ca="1" si="79"/>
        <v>No</v>
      </c>
    </row>
    <row r="827" spans="2:11" ht="11.25" hidden="1">
      <c r="B827" s="27">
        <v>825</v>
      </c>
      <c r="C827" s="24">
        <f t="shared" ca="1" si="76"/>
        <v>6.1579637941471935E-2</v>
      </c>
      <c r="D827" s="24">
        <f t="shared" ca="1" si="77"/>
        <v>4.4583745037040184E-2</v>
      </c>
      <c r="E827" s="24">
        <f t="shared" ca="1" si="78"/>
        <v>8.5712219219443164E-3</v>
      </c>
      <c r="F827" s="25">
        <f ca="1">'Single Simulation'!$AP$4*Results!C827</f>
        <v>116760.90881616513</v>
      </c>
      <c r="G827" s="25">
        <f ca="1">'Single Simulation'!$AP$5*Results!D827</f>
        <v>42169.481180463183</v>
      </c>
      <c r="H827" s="25">
        <f t="shared" ca="1" si="80"/>
        <v>74591.427635701955</v>
      </c>
      <c r="I827" s="25">
        <f t="shared" ca="1" si="81"/>
        <v>639.33967974025177</v>
      </c>
      <c r="J827" s="25">
        <f ca="1">'Single Simulation'!$AP$7*Results!E827</f>
        <v>119757.40480389789</v>
      </c>
      <c r="K827" s="28" t="str">
        <f t="shared" ca="1" si="79"/>
        <v>No</v>
      </c>
    </row>
    <row r="828" spans="2:11" ht="11.25" hidden="1">
      <c r="B828" s="27">
        <v>826</v>
      </c>
      <c r="C828" s="29">
        <f t="shared" ca="1" si="76"/>
        <v>2.4047496012636567E-2</v>
      </c>
      <c r="D828" s="29">
        <f t="shared" ca="1" si="77"/>
        <v>4.879815550175385E-2</v>
      </c>
      <c r="E828" s="29">
        <f t="shared" ca="1" si="78"/>
        <v>2.9506975088736044E-2</v>
      </c>
      <c r="F828" s="30">
        <f ca="1">'Single Simulation'!$AP$4*Results!C828</f>
        <v>45596.362418649158</v>
      </c>
      <c r="G828" s="30">
        <f ca="1">'Single Simulation'!$AP$5*Results!D828</f>
        <v>46155.676208064397</v>
      </c>
      <c r="H828" s="30">
        <f t="shared" ca="1" si="80"/>
        <v>-559.31378941523872</v>
      </c>
      <c r="I828" s="30">
        <f t="shared" ca="1" si="81"/>
        <v>-16.503658051062008</v>
      </c>
      <c r="J828" s="25">
        <f ca="1">'Single Simulation'!$AP$7*Results!E828</f>
        <v>412272.46154871525</v>
      </c>
      <c r="K828" s="28" t="str">
        <f t="shared" ca="1" si="79"/>
        <v>No</v>
      </c>
    </row>
    <row r="829" spans="2:11" ht="11.25" hidden="1">
      <c r="B829" s="27">
        <v>827</v>
      </c>
      <c r="C829" s="24">
        <f t="shared" ca="1" si="76"/>
        <v>6.0447072840790803E-2</v>
      </c>
      <c r="D829" s="24">
        <f t="shared" ca="1" si="77"/>
        <v>3.7675586881856564E-2</v>
      </c>
      <c r="E829" s="24">
        <f t="shared" ca="1" si="78"/>
        <v>6.1518526045859862E-2</v>
      </c>
      <c r="F829" s="25">
        <f ca="1">'Single Simulation'!$AP$4*Results!C829</f>
        <v>114613.45659218995</v>
      </c>
      <c r="G829" s="25">
        <f ca="1">'Single Simulation'!$AP$5*Results!D829</f>
        <v>35635.408166303969</v>
      </c>
      <c r="H829" s="25">
        <f t="shared" ca="1" si="80"/>
        <v>78978.04842588598</v>
      </c>
      <c r="I829" s="25">
        <f t="shared" ca="1" si="81"/>
        <v>4858.6131291390484</v>
      </c>
      <c r="J829" s="25">
        <f ca="1">'Single Simulation'!$AP$7*Results!E829</f>
        <v>859538.94248743949</v>
      </c>
      <c r="K829" s="28" t="str">
        <f t="shared" ca="1" si="79"/>
        <v>No</v>
      </c>
    </row>
    <row r="830" spans="2:11" ht="11.25" hidden="1">
      <c r="B830" s="27">
        <v>828</v>
      </c>
      <c r="C830" s="29">
        <f t="shared" ca="1" si="76"/>
        <v>4.7125686691273497E-2</v>
      </c>
      <c r="D830" s="29">
        <f t="shared" ca="1" si="77"/>
        <v>2.8645533243466345E-2</v>
      </c>
      <c r="E830" s="29">
        <f t="shared" ca="1" si="78"/>
        <v>6.1361986440761636E-2</v>
      </c>
      <c r="F830" s="30">
        <f ca="1">'Single Simulation'!$AP$4*Results!C830</f>
        <v>89354.82881352301</v>
      </c>
      <c r="G830" s="30">
        <f ca="1">'Single Simulation'!$AP$5*Results!D830</f>
        <v>27094.342882391487</v>
      </c>
      <c r="H830" s="30">
        <f t="shared" ca="1" si="80"/>
        <v>62260.485931131523</v>
      </c>
      <c r="I830" s="30">
        <f t="shared" ca="1" si="81"/>
        <v>3820.4270935013233</v>
      </c>
      <c r="J830" s="25">
        <f ca="1">'Single Simulation'!$AP$7*Results!E830</f>
        <v>857351.76579007797</v>
      </c>
      <c r="K830" s="28" t="str">
        <f t="shared" ca="1" si="79"/>
        <v>No</v>
      </c>
    </row>
    <row r="831" spans="2:11" ht="11.25" hidden="1">
      <c r="B831" s="27">
        <v>829</v>
      </c>
      <c r="C831" s="24">
        <f t="shared" ca="1" si="76"/>
        <v>5.0926511448592199E-2</v>
      </c>
      <c r="D831" s="24">
        <f t="shared" ca="1" si="77"/>
        <v>3.4294249782219177E-2</v>
      </c>
      <c r="E831" s="24">
        <f t="shared" ca="1" si="78"/>
        <v>3.2135266788167902E-2</v>
      </c>
      <c r="F831" s="25">
        <f ca="1">'Single Simulation'!$AP$4*Results!C831</f>
        <v>96561.55765686743</v>
      </c>
      <c r="G831" s="25">
        <f ca="1">'Single Simulation'!$AP$5*Results!D831</f>
        <v>32437.174570864699</v>
      </c>
      <c r="H831" s="25">
        <f t="shared" ca="1" si="80"/>
        <v>64124.38308600273</v>
      </c>
      <c r="I831" s="25">
        <f t="shared" ca="1" si="81"/>
        <v>2060.654158095379</v>
      </c>
      <c r="J831" s="25">
        <f ca="1">'Single Simulation'!$AP$7*Results!E831</f>
        <v>448995.04274635453</v>
      </c>
      <c r="K831" s="28" t="str">
        <f t="shared" ca="1" si="79"/>
        <v>No</v>
      </c>
    </row>
    <row r="832" spans="2:11" ht="11.25" hidden="1">
      <c r="B832" s="27">
        <v>830</v>
      </c>
      <c r="C832" s="29">
        <f t="shared" ca="1" si="76"/>
        <v>0.02</v>
      </c>
      <c r="D832" s="29">
        <f t="shared" ca="1" si="77"/>
        <v>3.7438884845249751E-2</v>
      </c>
      <c r="E832" s="29">
        <f t="shared" ca="1" si="78"/>
        <v>9.0098034041293129E-2</v>
      </c>
      <c r="F832" s="30">
        <f ca="1">'Single Simulation'!$AP$4*Results!C832</f>
        <v>37921.921180225181</v>
      </c>
      <c r="G832" s="30">
        <f ca="1">'Single Simulation'!$AP$5*Results!D832</f>
        <v>35411.52383200734</v>
      </c>
      <c r="H832" s="30">
        <f t="shared" ca="1" si="80"/>
        <v>2510.3973482178408</v>
      </c>
      <c r="I832" s="30">
        <f t="shared" ca="1" si="81"/>
        <v>226.18186573690301</v>
      </c>
      <c r="J832" s="25">
        <f ca="1">'Single Simulation'!$AP$7*Results!E832</f>
        <v>1258852.8022000983</v>
      </c>
      <c r="K832" s="28" t="str">
        <f t="shared" ca="1" si="79"/>
        <v>No</v>
      </c>
    </row>
    <row r="833" spans="2:11" ht="11.25" hidden="1">
      <c r="B833" s="27">
        <v>831</v>
      </c>
      <c r="C833" s="24">
        <f t="shared" ca="1" si="76"/>
        <v>3.9650770067394148E-2</v>
      </c>
      <c r="D833" s="24">
        <f t="shared" ca="1" si="77"/>
        <v>5.5021097520323338E-2</v>
      </c>
      <c r="E833" s="24">
        <f t="shared" ca="1" si="78"/>
        <v>6.5003426742672787E-2</v>
      </c>
      <c r="F833" s="25">
        <f ca="1">'Single Simulation'!$AP$4*Results!C833</f>
        <v>75181.668861547631</v>
      </c>
      <c r="G833" s="25">
        <f ca="1">'Single Simulation'!$AP$5*Results!D833</f>
        <v>52041.63837030901</v>
      </c>
      <c r="H833" s="25">
        <f t="shared" ca="1" si="80"/>
        <v>23140.03049123862</v>
      </c>
      <c r="I833" s="25">
        <f t="shared" ca="1" si="81"/>
        <v>1504.1812768604443</v>
      </c>
      <c r="J833" s="25">
        <f ca="1">'Single Simulation'!$AP$7*Results!E833</f>
        <v>908230.09379004629</v>
      </c>
      <c r="K833" s="28" t="str">
        <f t="shared" ca="1" si="79"/>
        <v>No</v>
      </c>
    </row>
    <row r="834" spans="2:11" ht="11.25" hidden="1">
      <c r="B834" s="27">
        <v>832</v>
      </c>
      <c r="C834" s="29">
        <f t="shared" ca="1" si="76"/>
        <v>5.4493835851363408E-2</v>
      </c>
      <c r="D834" s="29">
        <f t="shared" ca="1" si="77"/>
        <v>2.1219254090056806E-2</v>
      </c>
      <c r="E834" s="29">
        <f t="shared" ca="1" si="78"/>
        <v>6.7982021208864943E-2</v>
      </c>
      <c r="F834" s="30">
        <f ca="1">'Single Simulation'!$AP$4*Results!C834</f>
        <v>103325.54739817661</v>
      </c>
      <c r="G834" s="30">
        <f ca="1">'Single Simulation'!$AP$5*Results!D834</f>
        <v>20070.205750340461</v>
      </c>
      <c r="H834" s="30">
        <f t="shared" ca="1" si="80"/>
        <v>83255.341647836147</v>
      </c>
      <c r="I834" s="30">
        <f t="shared" ca="1" si="81"/>
        <v>5659.8664016544935</v>
      </c>
      <c r="J834" s="25">
        <f ca="1">'Single Simulation'!$AP$7*Results!E834</f>
        <v>949847.11718331149</v>
      </c>
      <c r="K834" s="28" t="str">
        <f t="shared" ca="1" si="79"/>
        <v>No</v>
      </c>
    </row>
    <row r="835" spans="2:11" ht="11.25" hidden="1">
      <c r="B835" s="27">
        <v>833</v>
      </c>
      <c r="C835" s="24">
        <f t="shared" ca="1" si="76"/>
        <v>3.8994288784414917E-2</v>
      </c>
      <c r="D835" s="24">
        <f t="shared" ca="1" si="77"/>
        <v>5.7911908178366424E-2</v>
      </c>
      <c r="E835" s="24">
        <f t="shared" ca="1" si="78"/>
        <v>0.11240189103686468</v>
      </c>
      <c r="F835" s="25">
        <f ca="1">'Single Simulation'!$AP$4*Results!C835</f>
        <v>73936.91728807606</v>
      </c>
      <c r="G835" s="25">
        <f ca="1">'Single Simulation'!$AP$5*Results!D835</f>
        <v>54775.908125784968</v>
      </c>
      <c r="H835" s="25">
        <f t="shared" ca="1" si="80"/>
        <v>19161.009162291091</v>
      </c>
      <c r="I835" s="25">
        <f t="shared" ca="1" si="81"/>
        <v>2153.7336640162089</v>
      </c>
      <c r="J835" s="25">
        <f ca="1">'Single Simulation'!$AP$7*Results!E835</f>
        <v>1570483.0522661244</v>
      </c>
      <c r="K835" s="28" t="str">
        <f t="shared" ca="1" si="79"/>
        <v>No</v>
      </c>
    </row>
    <row r="836" spans="2:11" ht="11.25" hidden="1">
      <c r="B836" s="27">
        <v>834</v>
      </c>
      <c r="C836" s="29">
        <f t="shared" ref="C836:C899" ca="1" si="82">MAX(0.02,MIN(0.12,_xlfn.NORM.INV(RAND(),0.06,0.02)))</f>
        <v>7.0483685419089087E-2</v>
      </c>
      <c r="D836" s="29">
        <f t="shared" ref="D836:D899" ca="1" si="83">MAX(0.02,MIN(0.08,_xlfn.NORM.INV(RAND(),0.05,0.015)))</f>
        <v>6.5517627065507775E-2</v>
      </c>
      <c r="E836" s="29">
        <f t="shared" ref="E836:E899" ca="1" si="84">MAX(-0.1,MIN(0.25,_xlfn.NORM.INV(RAND(),0.07,0.04)))</f>
        <v>3.4591780779810476E-2</v>
      </c>
      <c r="F836" s="30">
        <f ca="1">'Single Simulation'!$AP$4*Results!C836</f>
        <v>133643.83814772413</v>
      </c>
      <c r="G836" s="30">
        <f ca="1">'Single Simulation'!$AP$5*Results!D836</f>
        <v>61969.768112395308</v>
      </c>
      <c r="H836" s="30">
        <f t="shared" ca="1" si="80"/>
        <v>71674.070035328827</v>
      </c>
      <c r="I836" s="30">
        <f t="shared" ca="1" si="81"/>
        <v>2479.3337182588775</v>
      </c>
      <c r="J836" s="25">
        <f ca="1">'Single Simulation'!$AP$7*Results!E836</f>
        <v>483317.53995651251</v>
      </c>
      <c r="K836" s="28" t="str">
        <f t="shared" ref="K836:K899" ca="1" si="85">IF(J836&gt;$N$4,"Yes","No")</f>
        <v>No</v>
      </c>
    </row>
    <row r="837" spans="2:11" ht="11.25" hidden="1">
      <c r="B837" s="27">
        <v>835</v>
      </c>
      <c r="C837" s="24">
        <f t="shared" ca="1" si="82"/>
        <v>0.02</v>
      </c>
      <c r="D837" s="24">
        <f t="shared" ca="1" si="83"/>
        <v>6.0579981388525064E-2</v>
      </c>
      <c r="E837" s="24">
        <f t="shared" ca="1" si="84"/>
        <v>6.972935951822995E-2</v>
      </c>
      <c r="F837" s="25">
        <f ca="1">'Single Simulation'!$AP$4*Results!C837</f>
        <v>37921.921180225181</v>
      </c>
      <c r="G837" s="25">
        <f ca="1">'Single Simulation'!$AP$5*Results!D837</f>
        <v>57299.501936273708</v>
      </c>
      <c r="H837" s="25">
        <f t="shared" ca="1" si="80"/>
        <v>-19377.580756048526</v>
      </c>
      <c r="I837" s="25">
        <f t="shared" ca="1" si="81"/>
        <v>-1351.1862951320418</v>
      </c>
      <c r="J837" s="25">
        <f ca="1">'Single Simulation'!$AP$7*Results!E837</f>
        <v>974260.98759171122</v>
      </c>
      <c r="K837" s="28" t="str">
        <f t="shared" ca="1" si="85"/>
        <v>No</v>
      </c>
    </row>
    <row r="838" spans="2:11" ht="11.25" hidden="1">
      <c r="B838" s="27">
        <v>836</v>
      </c>
      <c r="C838" s="29">
        <f t="shared" ca="1" si="82"/>
        <v>3.7612718351624316E-2</v>
      </c>
      <c r="D838" s="29">
        <f t="shared" ca="1" si="83"/>
        <v>4.178848798490889E-2</v>
      </c>
      <c r="E838" s="29">
        <f t="shared" ca="1" si="84"/>
        <v>9.3268270090751199E-2</v>
      </c>
      <c r="F838" s="30">
        <f ca="1">'Single Simulation'!$AP$4*Results!C838</f>
        <v>71317.327035215319</v>
      </c>
      <c r="G838" s="30">
        <f ca="1">'Single Simulation'!$AP$5*Results!D838</f>
        <v>39525.590687269359</v>
      </c>
      <c r="H838" s="30">
        <f t="shared" ca="1" si="80"/>
        <v>31791.73634794596</v>
      </c>
      <c r="I838" s="30">
        <f t="shared" ca="1" si="81"/>
        <v>2965.160252354176</v>
      </c>
      <c r="J838" s="25">
        <f ca="1">'Single Simulation'!$AP$7*Results!E838</f>
        <v>1303147.4483259725</v>
      </c>
      <c r="K838" s="28" t="str">
        <f t="shared" ca="1" si="85"/>
        <v>No</v>
      </c>
    </row>
    <row r="839" spans="2:11" ht="11.25" hidden="1">
      <c r="B839" s="27">
        <v>837</v>
      </c>
      <c r="C839" s="24">
        <f t="shared" ca="1" si="82"/>
        <v>4.8763150033679398E-2</v>
      </c>
      <c r="D839" s="24">
        <f t="shared" ca="1" si="83"/>
        <v>5.1312534374456382E-2</v>
      </c>
      <c r="E839" s="24">
        <f t="shared" ca="1" si="84"/>
        <v>7.5579610805556835E-2</v>
      </c>
      <c r="F839" s="25">
        <f ca="1">'Single Simulation'!$AP$4*Results!C839</f>
        <v>92459.616603834249</v>
      </c>
      <c r="G839" s="25">
        <f ca="1">'Single Simulation'!$AP$5*Results!D839</f>
        <v>48533.898415842006</v>
      </c>
      <c r="H839" s="25">
        <f t="shared" ca="1" si="80"/>
        <v>43925.718187992243</v>
      </c>
      <c r="I839" s="25">
        <f t="shared" ca="1" si="81"/>
        <v>3319.8886850030231</v>
      </c>
      <c r="J839" s="25">
        <f ca="1">'Single Simulation'!$AP$7*Results!E839</f>
        <v>1056000.8979570239</v>
      </c>
      <c r="K839" s="28" t="str">
        <f t="shared" ca="1" si="85"/>
        <v>No</v>
      </c>
    </row>
    <row r="840" spans="2:11" ht="11.25" hidden="1">
      <c r="B840" s="27">
        <v>838</v>
      </c>
      <c r="C840" s="29">
        <f t="shared" ca="1" si="82"/>
        <v>4.3962146155948179E-2</v>
      </c>
      <c r="D840" s="29">
        <f t="shared" ca="1" si="83"/>
        <v>4.244052454075127E-2</v>
      </c>
      <c r="E840" s="29">
        <f t="shared" ca="1" si="84"/>
        <v>1.8765892401151646E-2</v>
      </c>
      <c r="F840" s="30">
        <f ca="1">'Single Simulation'!$AP$4*Results!C840</f>
        <v>83356.4520719703</v>
      </c>
      <c r="G840" s="30">
        <f ca="1">'Single Simulation'!$AP$5*Results!D840</f>
        <v>40142.318672944988</v>
      </c>
      <c r="H840" s="30">
        <f t="shared" ca="1" si="80"/>
        <v>43214.133399025312</v>
      </c>
      <c r="I840" s="30">
        <f t="shared" ca="1" si="81"/>
        <v>810.95177757512261</v>
      </c>
      <c r="J840" s="25">
        <f ca="1">'Single Simulation'!$AP$7*Results!E840</f>
        <v>262197.6881776168</v>
      </c>
      <c r="K840" s="28" t="str">
        <f t="shared" ca="1" si="85"/>
        <v>No</v>
      </c>
    </row>
    <row r="841" spans="2:11" ht="11.25" hidden="1">
      <c r="B841" s="27">
        <v>839</v>
      </c>
      <c r="C841" s="24">
        <f t="shared" ca="1" si="82"/>
        <v>6.4506198823117381E-2</v>
      </c>
      <c r="D841" s="24">
        <f t="shared" ca="1" si="83"/>
        <v>5.4109950459427993E-2</v>
      </c>
      <c r="E841" s="24">
        <f t="shared" ca="1" si="84"/>
        <v>6.7866671870510514E-2</v>
      </c>
      <c r="F841" s="25">
        <f ca="1">'Single Simulation'!$AP$4*Results!C841</f>
        <v>122309.94937030956</v>
      </c>
      <c r="G841" s="25">
        <f ca="1">'Single Simulation'!$AP$5*Results!D841</f>
        <v>51179.831027629763</v>
      </c>
      <c r="H841" s="25">
        <f t="shared" ca="1" si="80"/>
        <v>71130.118342679809</v>
      </c>
      <c r="I841" s="25">
        <f t="shared" ca="1" si="81"/>
        <v>4827.3644016732314</v>
      </c>
      <c r="J841" s="25">
        <f ca="1">'Single Simulation'!$AP$7*Results!E841</f>
        <v>948235.45229667425</v>
      </c>
      <c r="K841" s="28" t="str">
        <f t="shared" ca="1" si="85"/>
        <v>No</v>
      </c>
    </row>
    <row r="842" spans="2:11" ht="11.25" hidden="1">
      <c r="B842" s="27">
        <v>840</v>
      </c>
      <c r="C842" s="29">
        <f t="shared" ca="1" si="82"/>
        <v>6.4279968319998534E-2</v>
      </c>
      <c r="D842" s="29">
        <f t="shared" ca="1" si="83"/>
        <v>5.9366135853433116E-2</v>
      </c>
      <c r="E842" s="29">
        <f t="shared" ca="1" si="84"/>
        <v>0.1217293455090076</v>
      </c>
      <c r="F842" s="30">
        <f ca="1">'Single Simulation'!$AP$4*Results!C842</f>
        <v>121880.9946049178</v>
      </c>
      <c r="G842" s="30">
        <f ca="1">'Single Simulation'!$AP$5*Results!D842</f>
        <v>56151.387608831661</v>
      </c>
      <c r="H842" s="30">
        <f t="shared" ca="1" si="80"/>
        <v>65729.606996086135</v>
      </c>
      <c r="I842" s="30">
        <f t="shared" ca="1" si="81"/>
        <v>8001.222040197852</v>
      </c>
      <c r="J842" s="25">
        <f ca="1">'Single Simulation'!$AP$7*Results!E842</f>
        <v>1700806.5640340892</v>
      </c>
      <c r="K842" s="28" t="str">
        <f t="shared" ca="1" si="85"/>
        <v>No</v>
      </c>
    </row>
    <row r="843" spans="2:11" ht="11.25" hidden="1">
      <c r="B843" s="27">
        <v>841</v>
      </c>
      <c r="C843" s="24">
        <f t="shared" ca="1" si="82"/>
        <v>9.1854601399861582E-2</v>
      </c>
      <c r="D843" s="24">
        <f t="shared" ca="1" si="83"/>
        <v>5.3732668940601858E-2</v>
      </c>
      <c r="E843" s="24">
        <f t="shared" ca="1" si="84"/>
        <v>8.5271505588867147E-2</v>
      </c>
      <c r="F843" s="25">
        <f ca="1">'Single Simulation'!$AP$4*Results!C843</f>
        <v>174165.1477163276</v>
      </c>
      <c r="G843" s="25">
        <f ca="1">'Single Simulation'!$AP$5*Results!D843</f>
        <v>50822.979760544476</v>
      </c>
      <c r="H843" s="25">
        <f t="shared" ca="1" si="80"/>
        <v>123342.16795578312</v>
      </c>
      <c r="I843" s="25">
        <f t="shared" ca="1" si="81"/>
        <v>10517.572364184551</v>
      </c>
      <c r="J843" s="25">
        <f ca="1">'Single Simulation'!$AP$7*Results!E843</f>
        <v>1191416.3821728833</v>
      </c>
      <c r="K843" s="28" t="str">
        <f t="shared" ca="1" si="85"/>
        <v>No</v>
      </c>
    </row>
    <row r="844" spans="2:11" ht="11.25" hidden="1">
      <c r="B844" s="27">
        <v>842</v>
      </c>
      <c r="C844" s="29">
        <f t="shared" ca="1" si="82"/>
        <v>7.7824940109737228E-2</v>
      </c>
      <c r="D844" s="29">
        <f t="shared" ca="1" si="83"/>
        <v>5.0291615773866954E-2</v>
      </c>
      <c r="E844" s="29">
        <f t="shared" ca="1" si="84"/>
        <v>3.0831884954662075E-2</v>
      </c>
      <c r="F844" s="30">
        <f ca="1">'Single Simulation'!$AP$4*Results!C844</f>
        <v>147563.56223486</v>
      </c>
      <c r="G844" s="30">
        <f ca="1">'Single Simulation'!$AP$5*Results!D844</f>
        <v>47568.263795453488</v>
      </c>
      <c r="H844" s="30">
        <f t="shared" ca="1" si="80"/>
        <v>99995.298439406513</v>
      </c>
      <c r="I844" s="30">
        <f t="shared" ca="1" si="81"/>
        <v>3083.0435374908816</v>
      </c>
      <c r="J844" s="25">
        <f ca="1">'Single Simulation'!$AP$7*Results!E844</f>
        <v>430784.14734886418</v>
      </c>
      <c r="K844" s="28" t="str">
        <f t="shared" ca="1" si="85"/>
        <v>No</v>
      </c>
    </row>
    <row r="845" spans="2:11" ht="11.25" hidden="1">
      <c r="B845" s="27">
        <v>843</v>
      </c>
      <c r="C845" s="24">
        <f t="shared" ca="1" si="82"/>
        <v>8.8062704140423678E-2</v>
      </c>
      <c r="D845" s="24">
        <f t="shared" ca="1" si="83"/>
        <v>6.0188945173867095E-2</v>
      </c>
      <c r="E845" s="24">
        <f t="shared" ca="1" si="84"/>
        <v>4.8042679586743811E-2</v>
      </c>
      <c r="F845" s="25">
        <f ca="1">'Single Simulation'!$AP$4*Results!C845</f>
        <v>166975.34626653179</v>
      </c>
      <c r="G845" s="25">
        <f ca="1">'Single Simulation'!$AP$5*Results!D845</f>
        <v>56929.640806815005</v>
      </c>
      <c r="H845" s="25">
        <f t="shared" ca="1" si="80"/>
        <v>110045.70545971679</v>
      </c>
      <c r="I845" s="25">
        <f t="shared" ca="1" si="81"/>
        <v>5286.8905672983574</v>
      </c>
      <c r="J845" s="25">
        <f ca="1">'Single Simulation'!$AP$7*Results!E845</f>
        <v>671253.95649871486</v>
      </c>
      <c r="K845" s="28" t="str">
        <f t="shared" ca="1" si="85"/>
        <v>No</v>
      </c>
    </row>
    <row r="846" spans="2:11" ht="11.25" hidden="1">
      <c r="B846" s="27">
        <v>844</v>
      </c>
      <c r="C846" s="29">
        <f t="shared" ca="1" si="82"/>
        <v>4.1116159942632929E-2</v>
      </c>
      <c r="D846" s="29">
        <f t="shared" ca="1" si="83"/>
        <v>6.6877365877715464E-2</v>
      </c>
      <c r="E846" s="29">
        <f t="shared" ca="1" si="84"/>
        <v>6.6744319309446062E-2</v>
      </c>
      <c r="F846" s="30">
        <f ca="1">'Single Simulation'!$AP$4*Results!C846</f>
        <v>77960.188828902887</v>
      </c>
      <c r="G846" s="30">
        <f ca="1">'Single Simulation'!$AP$5*Results!D846</f>
        <v>63255.87541908522</v>
      </c>
      <c r="H846" s="30">
        <f t="shared" ca="1" si="80"/>
        <v>14704.313409817667</v>
      </c>
      <c r="I846" s="30">
        <f t="shared" ca="1" si="81"/>
        <v>981.42938945104004</v>
      </c>
      <c r="J846" s="25">
        <f ca="1">'Single Simulation'!$AP$7*Results!E846</f>
        <v>932553.90406328102</v>
      </c>
      <c r="K846" s="28" t="str">
        <f t="shared" ca="1" si="85"/>
        <v>No</v>
      </c>
    </row>
    <row r="847" spans="2:11" ht="11.25" hidden="1">
      <c r="B847" s="27">
        <v>845</v>
      </c>
      <c r="C847" s="24">
        <f t="shared" ca="1" si="82"/>
        <v>6.4005958412548011E-2</v>
      </c>
      <c r="D847" s="24">
        <f t="shared" ca="1" si="83"/>
        <v>5.1938349385670698E-2</v>
      </c>
      <c r="E847" s="24">
        <f t="shared" ca="1" si="84"/>
        <v>8.3420205027937358E-3</v>
      </c>
      <c r="F847" s="25">
        <f ca="1">'Single Simulation'!$AP$4*Results!C847</f>
        <v>121361.44549927082</v>
      </c>
      <c r="G847" s="25">
        <f ca="1">'Single Simulation'!$AP$5*Results!D847</f>
        <v>49125.824785327757</v>
      </c>
      <c r="H847" s="25">
        <f t="shared" ca="1" si="80"/>
        <v>72235.620713943063</v>
      </c>
      <c r="I847" s="25">
        <f t="shared" ca="1" si="81"/>
        <v>602.59102902774487</v>
      </c>
      <c r="J847" s="25">
        <f ca="1">'Single Simulation'!$AP$7*Results!E847</f>
        <v>116554.99476425475</v>
      </c>
      <c r="K847" s="28" t="str">
        <f t="shared" ca="1" si="85"/>
        <v>No</v>
      </c>
    </row>
    <row r="848" spans="2:11" ht="11.25" hidden="1">
      <c r="B848" s="27">
        <v>846</v>
      </c>
      <c r="C848" s="29">
        <f t="shared" ca="1" si="82"/>
        <v>9.0106155494918627E-2</v>
      </c>
      <c r="D848" s="29">
        <f t="shared" ca="1" si="83"/>
        <v>7.0138612024853442E-2</v>
      </c>
      <c r="E848" s="29">
        <f t="shared" ca="1" si="84"/>
        <v>8.3964968929596817E-3</v>
      </c>
      <c r="F848" s="30">
        <f ca="1">'Single Simulation'!$AP$4*Results!C848</f>
        <v>170849.92632657089</v>
      </c>
      <c r="G848" s="30">
        <f ca="1">'Single Simulation'!$AP$5*Results!D848</f>
        <v>66340.521132726746</v>
      </c>
      <c r="H848" s="30">
        <f t="shared" ca="1" si="80"/>
        <v>104509.40519384414</v>
      </c>
      <c r="I848" s="30">
        <f t="shared" ca="1" si="81"/>
        <v>877.51289599517679</v>
      </c>
      <c r="J848" s="25">
        <f ca="1">'Single Simulation'!$AP$7*Results!E848</f>
        <v>117316.14074422937</v>
      </c>
      <c r="K848" s="28" t="str">
        <f t="shared" ca="1" si="85"/>
        <v>No</v>
      </c>
    </row>
    <row r="849" spans="2:11" ht="11.25" hidden="1">
      <c r="B849" s="27">
        <v>847</v>
      </c>
      <c r="C849" s="24">
        <f t="shared" ca="1" si="82"/>
        <v>6.3963376219002083E-2</v>
      </c>
      <c r="D849" s="24">
        <f t="shared" ca="1" si="83"/>
        <v>5.0770750582558789E-2</v>
      </c>
      <c r="E849" s="24">
        <f t="shared" ca="1" si="84"/>
        <v>7.6686932240449035E-2</v>
      </c>
      <c r="F849" s="25">
        <f ca="1">'Single Simulation'!$AP$4*Results!C849</f>
        <v>121280.70556990433</v>
      </c>
      <c r="G849" s="25">
        <f ca="1">'Single Simulation'!$AP$5*Results!D849</f>
        <v>48021.452873249647</v>
      </c>
      <c r="H849" s="25">
        <f t="shared" ca="1" si="80"/>
        <v>73259.252696654672</v>
      </c>
      <c r="I849" s="25">
        <f t="shared" ca="1" si="81"/>
        <v>5618.0273475342901</v>
      </c>
      <c r="J849" s="25">
        <f ca="1">'Single Simulation'!$AP$7*Results!E849</f>
        <v>1071472.4307832718</v>
      </c>
      <c r="K849" s="28" t="str">
        <f t="shared" ca="1" si="85"/>
        <v>No</v>
      </c>
    </row>
    <row r="850" spans="2:11" ht="11.25" hidden="1">
      <c r="B850" s="27">
        <v>848</v>
      </c>
      <c r="C850" s="29">
        <f t="shared" ca="1" si="82"/>
        <v>5.468005272513448E-2</v>
      </c>
      <c r="D850" s="29">
        <f t="shared" ca="1" si="83"/>
        <v>3.1367698107829967E-2</v>
      </c>
      <c r="E850" s="29">
        <f t="shared" ca="1" si="84"/>
        <v>7.2169641340790694E-2</v>
      </c>
      <c r="F850" s="30">
        <f ca="1">'Single Simulation'!$AP$4*Results!C850</f>
        <v>103678.63247865533</v>
      </c>
      <c r="G850" s="30">
        <f ca="1">'Single Simulation'!$AP$5*Results!D850</f>
        <v>29669.099218417774</v>
      </c>
      <c r="H850" s="30">
        <f t="shared" ca="1" si="80"/>
        <v>74009.533260237557</v>
      </c>
      <c r="I850" s="30">
        <f t="shared" ca="1" si="81"/>
        <v>5341.241471190664</v>
      </c>
      <c r="J850" s="25">
        <f ca="1">'Single Simulation'!$AP$7*Results!E850</f>
        <v>1008356.6883822595</v>
      </c>
      <c r="K850" s="28" t="str">
        <f t="shared" ca="1" si="85"/>
        <v>No</v>
      </c>
    </row>
    <row r="851" spans="2:11" ht="11.25" hidden="1">
      <c r="B851" s="27">
        <v>849</v>
      </c>
      <c r="C851" s="24">
        <f t="shared" ca="1" si="82"/>
        <v>6.8938359240425004E-2</v>
      </c>
      <c r="D851" s="24">
        <f t="shared" ca="1" si="83"/>
        <v>7.0887530927418133E-2</v>
      </c>
      <c r="E851" s="24">
        <f t="shared" ca="1" si="84"/>
        <v>5.3862266665899869E-2</v>
      </c>
      <c r="F851" s="25">
        <f ca="1">'Single Simulation'!$AP$4*Results!C851</f>
        <v>130713.75127047225</v>
      </c>
      <c r="G851" s="25">
        <f ca="1">'Single Simulation'!$AP$5*Results!D851</f>
        <v>67048.885168568901</v>
      </c>
      <c r="H851" s="25">
        <f t="shared" ca="1" si="80"/>
        <v>63664.866101903346</v>
      </c>
      <c r="I851" s="25">
        <f t="shared" ca="1" si="81"/>
        <v>3429.133995229527</v>
      </c>
      <c r="J851" s="25">
        <f ca="1">'Single Simulation'!$AP$7*Results!E851</f>
        <v>752565.42550241679</v>
      </c>
      <c r="K851" s="28" t="str">
        <f t="shared" ca="1" si="85"/>
        <v>No</v>
      </c>
    </row>
    <row r="852" spans="2:11" ht="11.25" hidden="1">
      <c r="B852" s="27">
        <v>850</v>
      </c>
      <c r="C852" s="29">
        <f t="shared" ca="1" si="82"/>
        <v>4.9299595784952716E-2</v>
      </c>
      <c r="D852" s="29">
        <f t="shared" ca="1" si="83"/>
        <v>4.1346352952045029E-2</v>
      </c>
      <c r="E852" s="29">
        <f t="shared" ca="1" si="84"/>
        <v>0.1031142659391687</v>
      </c>
      <c r="F852" s="30">
        <f ca="1">'Single Simulation'!$AP$4*Results!C852</f>
        <v>93476.769278696913</v>
      </c>
      <c r="G852" s="30">
        <f ca="1">'Single Simulation'!$AP$5*Results!D852</f>
        <v>39107.397802573694</v>
      </c>
      <c r="H852" s="30">
        <f t="shared" ca="1" si="80"/>
        <v>54369.371476123219</v>
      </c>
      <c r="I852" s="30">
        <f t="shared" ca="1" si="81"/>
        <v>5606.2578293344222</v>
      </c>
      <c r="J852" s="25">
        <f ca="1">'Single Simulation'!$AP$7*Results!E852</f>
        <v>1440716.0378753324</v>
      </c>
      <c r="K852" s="28" t="str">
        <f t="shared" ca="1" si="85"/>
        <v>No</v>
      </c>
    </row>
    <row r="853" spans="2:11" ht="11.25" hidden="1">
      <c r="B853" s="27">
        <v>851</v>
      </c>
      <c r="C853" s="24">
        <f t="shared" ca="1" si="82"/>
        <v>8.2087186477941831E-2</v>
      </c>
      <c r="D853" s="24">
        <f t="shared" ca="1" si="83"/>
        <v>3.2177685437658102E-2</v>
      </c>
      <c r="E853" s="24">
        <f t="shared" ca="1" si="84"/>
        <v>9.6952869270916717E-2</v>
      </c>
      <c r="F853" s="25">
        <f ca="1">'Single Simulation'!$AP$4*Results!C853</f>
        <v>155645.19077614782</v>
      </c>
      <c r="G853" s="25">
        <f ca="1">'Single Simulation'!$AP$5*Results!D853</f>
        <v>30435.224752134687</v>
      </c>
      <c r="H853" s="25">
        <f t="shared" ca="1" si="80"/>
        <v>125209.96602401313</v>
      </c>
      <c r="I853" s="25">
        <f t="shared" ca="1" si="81"/>
        <v>12139.46546734207</v>
      </c>
      <c r="J853" s="25">
        <f ca="1">'Single Simulation'!$AP$7*Results!E853</f>
        <v>1354628.7936437819</v>
      </c>
      <c r="K853" s="28" t="str">
        <f t="shared" ca="1" si="85"/>
        <v>No</v>
      </c>
    </row>
    <row r="854" spans="2:11" ht="11.25" hidden="1">
      <c r="B854" s="27">
        <v>852</v>
      </c>
      <c r="C854" s="29">
        <f t="shared" ca="1" si="82"/>
        <v>5.3949532510385645E-2</v>
      </c>
      <c r="D854" s="29">
        <f t="shared" ca="1" si="83"/>
        <v>5.656235506156302E-2</v>
      </c>
      <c r="E854" s="29">
        <f t="shared" ca="1" si="84"/>
        <v>6.9995997655893524E-2</v>
      </c>
      <c r="F854" s="30">
        <f ca="1">'Single Simulation'!$AP$4*Results!C854</f>
        <v>102293.49597844201</v>
      </c>
      <c r="G854" s="30">
        <f ca="1">'Single Simulation'!$AP$5*Results!D854</f>
        <v>53499.434946741894</v>
      </c>
      <c r="H854" s="30">
        <f t="shared" ca="1" si="80"/>
        <v>48794.061031700112</v>
      </c>
      <c r="I854" s="30">
        <f t="shared" ca="1" si="81"/>
        <v>3415.3889815964067</v>
      </c>
      <c r="J854" s="25">
        <f ca="1">'Single Simulation'!$AP$7*Results!E854</f>
        <v>977986.46473827551</v>
      </c>
      <c r="K854" s="28" t="str">
        <f t="shared" ca="1" si="85"/>
        <v>No</v>
      </c>
    </row>
    <row r="855" spans="2:11" ht="11.25" hidden="1">
      <c r="B855" s="27">
        <v>853</v>
      </c>
      <c r="C855" s="24">
        <f t="shared" ca="1" si="82"/>
        <v>6.0758412972978397E-2</v>
      </c>
      <c r="D855" s="24">
        <f t="shared" ca="1" si="83"/>
        <v>4.727009041439971E-2</v>
      </c>
      <c r="E855" s="24">
        <f t="shared" ca="1" si="84"/>
        <v>1.9748145362369893E-2</v>
      </c>
      <c r="F855" s="25">
        <f ca="1">'Single Simulation'!$AP$4*Results!C855</f>
        <v>115203.78738984288</v>
      </c>
      <c r="G855" s="25">
        <f ca="1">'Single Simulation'!$AP$5*Results!D855</f>
        <v>44710.357698141815</v>
      </c>
      <c r="H855" s="25">
        <f t="shared" ca="1" si="80"/>
        <v>70493.429691701065</v>
      </c>
      <c r="I855" s="25">
        <f t="shared" ca="1" si="81"/>
        <v>1392.1144966437146</v>
      </c>
      <c r="J855" s="25">
        <f ca="1">'Single Simulation'!$AP$7*Results!E855</f>
        <v>275921.76002731139</v>
      </c>
      <c r="K855" s="28" t="str">
        <f t="shared" ca="1" si="85"/>
        <v>No</v>
      </c>
    </row>
    <row r="856" spans="2:11" ht="11.25" hidden="1">
      <c r="B856" s="27">
        <v>854</v>
      </c>
      <c r="C856" s="29">
        <f t="shared" ca="1" si="82"/>
        <v>2.7852387917338656E-2</v>
      </c>
      <c r="D856" s="29">
        <f t="shared" ca="1" si="83"/>
        <v>4.4845600289991482E-2</v>
      </c>
      <c r="E856" s="29">
        <f t="shared" ca="1" si="84"/>
        <v>4.1457738022455226E-2</v>
      </c>
      <c r="F856" s="30">
        <f ca="1">'Single Simulation'!$AP$4*Results!C856</f>
        <v>52810.802964118629</v>
      </c>
      <c r="G856" s="30">
        <f ca="1">'Single Simulation'!$AP$5*Results!D856</f>
        <v>42417.156653938124</v>
      </c>
      <c r="H856" s="30">
        <f t="shared" ca="1" si="80"/>
        <v>10393.646310180506</v>
      </c>
      <c r="I856" s="30">
        <f t="shared" ca="1" si="81"/>
        <v>430.89706582552179</v>
      </c>
      <c r="J856" s="25">
        <f ca="1">'Single Simulation'!$AP$7*Results!E856</f>
        <v>579248.92854517023</v>
      </c>
      <c r="K856" s="28" t="str">
        <f t="shared" ca="1" si="85"/>
        <v>No</v>
      </c>
    </row>
    <row r="857" spans="2:11" ht="11.25" hidden="1">
      <c r="B857" s="27">
        <v>855</v>
      </c>
      <c r="C857" s="24">
        <f t="shared" ca="1" si="82"/>
        <v>3.7342972444341344E-2</v>
      </c>
      <c r="D857" s="24">
        <f t="shared" ca="1" si="83"/>
        <v>5.5221376582578183E-2</v>
      </c>
      <c r="E857" s="24">
        <f t="shared" ca="1" si="84"/>
        <v>0.12042330262322723</v>
      </c>
      <c r="F857" s="25">
        <f ca="1">'Single Simulation'!$AP$4*Results!C857</f>
        <v>70805.862883481663</v>
      </c>
      <c r="G857" s="25">
        <f ca="1">'Single Simulation'!$AP$5*Results!D857</f>
        <v>52231.072078481797</v>
      </c>
      <c r="H857" s="25">
        <f t="shared" ca="1" si="80"/>
        <v>18574.790804999866</v>
      </c>
      <c r="I857" s="25">
        <f t="shared" ca="1" si="81"/>
        <v>2236.8376542736373</v>
      </c>
      <c r="J857" s="25">
        <f ca="1">'Single Simulation'!$AP$7*Results!E857</f>
        <v>1682558.4883235293</v>
      </c>
      <c r="K857" s="28" t="str">
        <f t="shared" ca="1" si="85"/>
        <v>No</v>
      </c>
    </row>
    <row r="858" spans="2:11" ht="11.25" hidden="1">
      <c r="B858" s="27">
        <v>856</v>
      </c>
      <c r="C858" s="29">
        <f t="shared" ca="1" si="82"/>
        <v>5.3716947018260269E-2</v>
      </c>
      <c r="D858" s="29">
        <f t="shared" ca="1" si="83"/>
        <v>6.4775029381538007E-2</v>
      </c>
      <c r="E858" s="29">
        <f t="shared" ca="1" si="84"/>
        <v>5.8662276100506144E-2</v>
      </c>
      <c r="F858" s="30">
        <f ca="1">'Single Simulation'!$AP$4*Results!C858</f>
        <v>101852.49154343989</v>
      </c>
      <c r="G858" s="30">
        <f ca="1">'Single Simulation'!$AP$5*Results!D858</f>
        <v>61267.382993495979</v>
      </c>
      <c r="H858" s="30">
        <f t="shared" ca="1" si="80"/>
        <v>40585.108549943907</v>
      </c>
      <c r="I858" s="30">
        <f t="shared" ca="1" si="81"/>
        <v>2380.814843325822</v>
      </c>
      <c r="J858" s="25">
        <f ca="1">'Single Simulation'!$AP$7*Results!E858</f>
        <v>819631.32090887649</v>
      </c>
      <c r="K858" s="28" t="str">
        <f t="shared" ca="1" si="85"/>
        <v>No</v>
      </c>
    </row>
    <row r="859" spans="2:11" ht="11.25" hidden="1">
      <c r="B859" s="27">
        <v>857</v>
      </c>
      <c r="C859" s="24">
        <f t="shared" ca="1" si="82"/>
        <v>7.198349528320519E-2</v>
      </c>
      <c r="D859" s="24">
        <f t="shared" ca="1" si="83"/>
        <v>3.1069297433284456E-2</v>
      </c>
      <c r="E859" s="24">
        <f t="shared" ca="1" si="84"/>
        <v>6.2821902626218562E-2</v>
      </c>
      <c r="F859" s="25">
        <f ca="1">'Single Simulation'!$AP$4*Results!C859</f>
        <v>136487.62172034092</v>
      </c>
      <c r="G859" s="25">
        <f ca="1">'Single Simulation'!$AP$5*Results!D859</f>
        <v>29386.857302243392</v>
      </c>
      <c r="H859" s="25">
        <f t="shared" ca="1" si="80"/>
        <v>107100.76441809753</v>
      </c>
      <c r="I859" s="25">
        <f t="shared" ca="1" si="81"/>
        <v>6728.2737934672969</v>
      </c>
      <c r="J859" s="25">
        <f ca="1">'Single Simulation'!$AP$7*Results!E859</f>
        <v>877749.76448777912</v>
      </c>
      <c r="K859" s="28" t="str">
        <f t="shared" ca="1" si="85"/>
        <v>No</v>
      </c>
    </row>
    <row r="860" spans="2:11" ht="11.25" hidden="1">
      <c r="B860" s="27">
        <v>858</v>
      </c>
      <c r="C860" s="29">
        <f t="shared" ca="1" si="82"/>
        <v>4.3475744132952993E-2</v>
      </c>
      <c r="D860" s="29">
        <f t="shared" ca="1" si="83"/>
        <v>2.8122742447126627E-2</v>
      </c>
      <c r="E860" s="29">
        <f t="shared" ca="1" si="84"/>
        <v>4.724332381125676E-2</v>
      </c>
      <c r="F860" s="30">
        <f ca="1">'Single Simulation'!$AP$4*Results!C860</f>
        <v>82434.187113074033</v>
      </c>
      <c r="G860" s="30">
        <f ca="1">'Single Simulation'!$AP$5*Results!D860</f>
        <v>26599.861841616392</v>
      </c>
      <c r="H860" s="30">
        <f t="shared" ca="1" si="80"/>
        <v>55834.325271457637</v>
      </c>
      <c r="I860" s="30">
        <f t="shared" ca="1" si="81"/>
        <v>2637.7991085825097</v>
      </c>
      <c r="J860" s="25">
        <f ca="1">'Single Simulation'!$AP$7*Results!E860</f>
        <v>660085.33036126196</v>
      </c>
      <c r="K860" s="28" t="str">
        <f t="shared" ca="1" si="85"/>
        <v>No</v>
      </c>
    </row>
    <row r="861" spans="2:11" ht="11.25" hidden="1">
      <c r="B861" s="27">
        <v>859</v>
      </c>
      <c r="C861" s="24">
        <f t="shared" ca="1" si="82"/>
        <v>5.1758502267294018E-2</v>
      </c>
      <c r="D861" s="24">
        <f t="shared" ca="1" si="83"/>
        <v>6.6535730988978359E-2</v>
      </c>
      <c r="E861" s="24">
        <f t="shared" ca="1" si="84"/>
        <v>0.10412371671601763</v>
      </c>
      <c r="F861" s="25">
        <f ca="1">'Single Simulation'!$AP$4*Results!C861</f>
        <v>98139.0921693415</v>
      </c>
      <c r="G861" s="25">
        <f ca="1">'Single Simulation'!$AP$5*Results!D861</f>
        <v>62932.740473844075</v>
      </c>
      <c r="H861" s="25">
        <f t="shared" ca="1" si="80"/>
        <v>35206.351695497426</v>
      </c>
      <c r="I861" s="25">
        <f t="shared" ca="1" si="81"/>
        <v>3665.8161905464608</v>
      </c>
      <c r="J861" s="25">
        <f ca="1">'Single Simulation'!$AP$7*Results!E861</f>
        <v>1454820.1185319307</v>
      </c>
      <c r="K861" s="28" t="str">
        <f t="shared" ca="1" si="85"/>
        <v>No</v>
      </c>
    </row>
    <row r="862" spans="2:11" ht="11.25" hidden="1">
      <c r="B862" s="27">
        <v>860</v>
      </c>
      <c r="C862" s="29">
        <f t="shared" ca="1" si="82"/>
        <v>7.1870773918111586E-2</v>
      </c>
      <c r="D862" s="29">
        <f t="shared" ca="1" si="83"/>
        <v>3.1251192918252554E-2</v>
      </c>
      <c r="E862" s="29">
        <f t="shared" ca="1" si="84"/>
        <v>0.13367065466132924</v>
      </c>
      <c r="F862" s="30">
        <f ca="1">'Single Simulation'!$AP$4*Results!C862</f>
        <v>136273.89118422056</v>
      </c>
      <c r="G862" s="30">
        <f ca="1">'Single Simulation'!$AP$5*Results!D862</f>
        <v>29558.902926131668</v>
      </c>
      <c r="H862" s="30">
        <f t="shared" ca="1" si="80"/>
        <v>106714.98825808888</v>
      </c>
      <c r="I862" s="30">
        <f t="shared" ca="1" si="81"/>
        <v>14264.662342634803</v>
      </c>
      <c r="J862" s="25">
        <f ca="1">'Single Simulation'!$AP$7*Results!E862</f>
        <v>1867650.9424746691</v>
      </c>
      <c r="K862" s="28" t="str">
        <f t="shared" ca="1" si="85"/>
        <v>No</v>
      </c>
    </row>
    <row r="863" spans="2:11" ht="11.25" hidden="1">
      <c r="B863" s="27">
        <v>861</v>
      </c>
      <c r="C863" s="24">
        <f t="shared" ca="1" si="82"/>
        <v>8.2512339183167513E-2</v>
      </c>
      <c r="D863" s="24">
        <f t="shared" ca="1" si="83"/>
        <v>3.2376926882679569E-2</v>
      </c>
      <c r="E863" s="24">
        <f t="shared" ca="1" si="84"/>
        <v>8.0758564270714761E-2</v>
      </c>
      <c r="F863" s="25">
        <f ca="1">'Single Simulation'!$AP$4*Results!C863</f>
        <v>156451.32114500419</v>
      </c>
      <c r="G863" s="25">
        <f ca="1">'Single Simulation'!$AP$5*Results!D863</f>
        <v>30623.677031305509</v>
      </c>
      <c r="H863" s="25">
        <f t="shared" ca="1" si="80"/>
        <v>125827.64411369868</v>
      </c>
      <c r="I863" s="25">
        <f t="shared" ca="1" si="81"/>
        <v>10161.659884188759</v>
      </c>
      <c r="J863" s="25">
        <f ca="1">'Single Simulation'!$AP$7*Results!E863</f>
        <v>1128361.4122729076</v>
      </c>
      <c r="K863" s="28" t="str">
        <f t="shared" ca="1" si="85"/>
        <v>No</v>
      </c>
    </row>
    <row r="864" spans="2:11" ht="11.25" hidden="1">
      <c r="B864" s="27">
        <v>862</v>
      </c>
      <c r="C864" s="29">
        <f t="shared" ca="1" si="82"/>
        <v>6.91691914415965E-2</v>
      </c>
      <c r="D864" s="29">
        <f t="shared" ca="1" si="83"/>
        <v>4.7129878280659752E-2</v>
      </c>
      <c r="E864" s="29">
        <f t="shared" ca="1" si="84"/>
        <v>2.3915207599149377E-2</v>
      </c>
      <c r="F864" s="30">
        <f ca="1">'Single Simulation'!$AP$4*Results!C864</f>
        <v>131151.43129740641</v>
      </c>
      <c r="G864" s="30">
        <f ca="1">'Single Simulation'!$AP$5*Results!D864</f>
        <v>44577.738221466912</v>
      </c>
      <c r="H864" s="30">
        <f t="shared" ca="1" si="80"/>
        <v>86573.693075939489</v>
      </c>
      <c r="I864" s="30">
        <f t="shared" ca="1" si="81"/>
        <v>2070.427842536134</v>
      </c>
      <c r="J864" s="25">
        <f ca="1">'Single Simulation'!$AP$7*Results!E864</f>
        <v>334144.09561465483</v>
      </c>
      <c r="K864" s="28" t="str">
        <f t="shared" ca="1" si="85"/>
        <v>No</v>
      </c>
    </row>
    <row r="865" spans="2:11" ht="11.25" hidden="1">
      <c r="B865" s="27">
        <v>863</v>
      </c>
      <c r="C865" s="24">
        <f t="shared" ca="1" si="82"/>
        <v>7.2049550722019462E-2</v>
      </c>
      <c r="D865" s="24">
        <f t="shared" ca="1" si="83"/>
        <v>0.02</v>
      </c>
      <c r="E865" s="24">
        <f t="shared" ca="1" si="84"/>
        <v>0.14061490008532834</v>
      </c>
      <c r="F865" s="25">
        <f ca="1">'Single Simulation'!$AP$4*Results!C865</f>
        <v>136612.8691775529</v>
      </c>
      <c r="G865" s="25">
        <f ca="1">'Single Simulation'!$AP$5*Results!D865</f>
        <v>18916.975747743385</v>
      </c>
      <c r="H865" s="25">
        <f t="shared" ca="1" si="80"/>
        <v>117695.89342980951</v>
      </c>
      <c r="I865" s="25">
        <f t="shared" ca="1" si="81"/>
        <v>16549.796295086118</v>
      </c>
      <c r="J865" s="25">
        <f ca="1">'Single Simulation'!$AP$7*Results!E865</f>
        <v>1964676.1762013007</v>
      </c>
      <c r="K865" s="28" t="str">
        <f t="shared" ca="1" si="85"/>
        <v>No</v>
      </c>
    </row>
    <row r="866" spans="2:11" ht="11.25" hidden="1">
      <c r="B866" s="27">
        <v>864</v>
      </c>
      <c r="C866" s="29">
        <f t="shared" ca="1" si="82"/>
        <v>4.0540034565267842E-2</v>
      </c>
      <c r="D866" s="29">
        <f t="shared" ca="1" si="83"/>
        <v>4.7851697843672408E-2</v>
      </c>
      <c r="E866" s="29">
        <f t="shared" ca="1" si="84"/>
        <v>7.7165918295518249E-3</v>
      </c>
      <c r="F866" s="30">
        <f ca="1">'Single Simulation'!$AP$4*Results!C866</f>
        <v>76867.799771384569</v>
      </c>
      <c r="G866" s="30">
        <f ca="1">'Single Simulation'!$AP$5*Results!D866</f>
        <v>45260.470379854763</v>
      </c>
      <c r="H866" s="30">
        <f t="shared" ca="1" si="80"/>
        <v>31607.329391529805</v>
      </c>
      <c r="I866" s="30">
        <f t="shared" ca="1" si="81"/>
        <v>243.90085973663216</v>
      </c>
      <c r="J866" s="25">
        <f ca="1">'Single Simulation'!$AP$7*Results!E866</f>
        <v>107816.48402687252</v>
      </c>
      <c r="K866" s="28" t="str">
        <f t="shared" ca="1" si="85"/>
        <v>No</v>
      </c>
    </row>
    <row r="867" spans="2:11" ht="11.25" hidden="1">
      <c r="B867" s="27">
        <v>865</v>
      </c>
      <c r="C867" s="24">
        <f t="shared" ca="1" si="82"/>
        <v>4.7372278513637484E-2</v>
      </c>
      <c r="D867" s="24">
        <f t="shared" ca="1" si="83"/>
        <v>5.9113409079729895E-2</v>
      </c>
      <c r="E867" s="24">
        <f t="shared" ca="1" si="84"/>
        <v>0.14161213682688892</v>
      </c>
      <c r="F867" s="25">
        <f ca="1">'Single Simulation'!$AP$4*Results!C867</f>
        <v>89822.390596091776</v>
      </c>
      <c r="G867" s="25">
        <f ca="1">'Single Simulation'!$AP$5*Results!D867</f>
        <v>55912.346296384196</v>
      </c>
      <c r="H867" s="25">
        <f t="shared" ca="1" si="80"/>
        <v>33910.044299707581</v>
      </c>
      <c r="I867" s="25">
        <f t="shared" ca="1" si="81"/>
        <v>4802.0738331760549</v>
      </c>
      <c r="J867" s="25">
        <f ca="1">'Single Simulation'!$AP$7*Results!E867</f>
        <v>1978609.6019405914</v>
      </c>
      <c r="K867" s="28" t="str">
        <f t="shared" ca="1" si="85"/>
        <v>No</v>
      </c>
    </row>
    <row r="868" spans="2:11" ht="11.25" hidden="1">
      <c r="B868" s="27">
        <v>866</v>
      </c>
      <c r="C868" s="29">
        <f t="shared" ca="1" si="82"/>
        <v>3.5299054680893269E-2</v>
      </c>
      <c r="D868" s="29">
        <f t="shared" ca="1" si="83"/>
        <v>0.02</v>
      </c>
      <c r="E868" s="29">
        <f t="shared" ca="1" si="84"/>
        <v>9.0207087694714153E-2</v>
      </c>
      <c r="F868" s="30">
        <f ca="1">'Single Simulation'!$AP$4*Results!C868</f>
        <v>66930.398467264662</v>
      </c>
      <c r="G868" s="30">
        <f ca="1">'Single Simulation'!$AP$5*Results!D868</f>
        <v>18916.975747743385</v>
      </c>
      <c r="H868" s="30">
        <f t="shared" ca="1" si="80"/>
        <v>48013.422719521273</v>
      </c>
      <c r="I868" s="30">
        <f t="shared" ca="1" si="81"/>
        <v>4331.151033783236</v>
      </c>
      <c r="J868" s="25">
        <f ca="1">'Single Simulation'!$AP$7*Results!E868</f>
        <v>1260376.5035622867</v>
      </c>
      <c r="K868" s="28" t="str">
        <f t="shared" ca="1" si="85"/>
        <v>No</v>
      </c>
    </row>
    <row r="869" spans="2:11" ht="11.25" hidden="1">
      <c r="B869" s="27">
        <v>867</v>
      </c>
      <c r="C869" s="24">
        <f t="shared" ca="1" si="82"/>
        <v>3.0420524294300193E-2</v>
      </c>
      <c r="D869" s="24">
        <f t="shared" ca="1" si="83"/>
        <v>5.9075837108678142E-2</v>
      </c>
      <c r="E869" s="24">
        <f t="shared" ca="1" si="84"/>
        <v>-1.3058433801474437E-2</v>
      </c>
      <c r="F869" s="25">
        <f ca="1">'Single Simulation'!$AP$4*Results!C869</f>
        <v>57680.236227478854</v>
      </c>
      <c r="G869" s="25">
        <f ca="1">'Single Simulation'!$AP$5*Results!D869</f>
        <v>55876.808893125155</v>
      </c>
      <c r="H869" s="25">
        <f t="shared" ca="1" si="80"/>
        <v>1803.4273343536988</v>
      </c>
      <c r="I869" s="25">
        <f t="shared" ca="1" si="81"/>
        <v>-23.549936461427283</v>
      </c>
      <c r="J869" s="25">
        <f ca="1">'Single Simulation'!$AP$7*Results!E869</f>
        <v>-182452.88211057443</v>
      </c>
      <c r="K869" s="28" t="str">
        <f t="shared" ca="1" si="85"/>
        <v>No</v>
      </c>
    </row>
    <row r="870" spans="2:11" ht="11.25" hidden="1">
      <c r="B870" s="27">
        <v>868</v>
      </c>
      <c r="C870" s="29">
        <f t="shared" ca="1" si="82"/>
        <v>4.2134503538890769E-2</v>
      </c>
      <c r="D870" s="29">
        <f t="shared" ca="1" si="83"/>
        <v>4.0087772254931299E-2</v>
      </c>
      <c r="E870" s="29">
        <f t="shared" ca="1" si="84"/>
        <v>1.5979141012019533E-2</v>
      </c>
      <c r="F870" s="30">
        <f ca="1">'Single Simulation'!$AP$4*Results!C870</f>
        <v>79891.066108486732</v>
      </c>
      <c r="G870" s="30">
        <f ca="1">'Single Simulation'!$AP$5*Results!D870</f>
        <v>37916.970776379778</v>
      </c>
      <c r="H870" s="30">
        <f t="shared" ca="1" si="80"/>
        <v>41974.095332106954</v>
      </c>
      <c r="I870" s="30">
        <f t="shared" ca="1" si="81"/>
        <v>670.70998816368785</v>
      </c>
      <c r="J870" s="25">
        <f ca="1">'Single Simulation'!$AP$7*Results!E870</f>
        <v>223261.10279511931</v>
      </c>
      <c r="K870" s="28" t="str">
        <f t="shared" ca="1" si="85"/>
        <v>No</v>
      </c>
    </row>
    <row r="871" spans="2:11" ht="11.25" hidden="1">
      <c r="B871" s="27">
        <v>869</v>
      </c>
      <c r="C871" s="24">
        <f t="shared" ca="1" si="82"/>
        <v>5.9960804949078753E-2</v>
      </c>
      <c r="D871" s="24">
        <f t="shared" ca="1" si="83"/>
        <v>2.9781115903476481E-2</v>
      </c>
      <c r="E871" s="24">
        <f t="shared" ca="1" si="84"/>
        <v>2.8937842265369641E-2</v>
      </c>
      <c r="F871" s="25">
        <f ca="1">'Single Simulation'!$AP$4*Results!C871</f>
        <v>113691.44595909101</v>
      </c>
      <c r="G871" s="25">
        <f ca="1">'Single Simulation'!$AP$5*Results!D871</f>
        <v>28168.432364339969</v>
      </c>
      <c r="H871" s="25">
        <f t="shared" ca="1" si="80"/>
        <v>85523.013594751043</v>
      </c>
      <c r="I871" s="25">
        <f t="shared" ca="1" si="81"/>
        <v>2474.8514774639693</v>
      </c>
      <c r="J871" s="25">
        <f ca="1">'Single Simulation'!$AP$7*Results!E871</f>
        <v>404320.51834437757</v>
      </c>
      <c r="K871" s="28" t="str">
        <f t="shared" ca="1" si="85"/>
        <v>No</v>
      </c>
    </row>
    <row r="872" spans="2:11" ht="11.25" hidden="1">
      <c r="B872" s="27">
        <v>870</v>
      </c>
      <c r="C872" s="29">
        <f t="shared" ca="1" si="82"/>
        <v>6.0531129792669086E-2</v>
      </c>
      <c r="D872" s="29">
        <f t="shared" ca="1" si="83"/>
        <v>5.0596052220007029E-2</v>
      </c>
      <c r="E872" s="29">
        <f t="shared" ca="1" si="84"/>
        <v>6.0513268646198784E-2</v>
      </c>
      <c r="F872" s="30">
        <f ca="1">'Single Simulation'!$AP$4*Results!C872</f>
        <v>114772.83664737885</v>
      </c>
      <c r="G872" s="30">
        <f ca="1">'Single Simulation'!$AP$5*Results!D872</f>
        <v>47856.214638871541</v>
      </c>
      <c r="H872" s="30">
        <f t="shared" ca="1" si="80"/>
        <v>66916.622008507315</v>
      </c>
      <c r="I872" s="30">
        <f t="shared" ca="1" si="81"/>
        <v>4049.343524496941</v>
      </c>
      <c r="J872" s="25">
        <f ca="1">'Single Simulation'!$AP$7*Results!E872</f>
        <v>845493.45183982165</v>
      </c>
      <c r="K872" s="28" t="str">
        <f t="shared" ca="1" si="85"/>
        <v>No</v>
      </c>
    </row>
    <row r="873" spans="2:11" ht="11.25" hidden="1">
      <c r="B873" s="27">
        <v>871</v>
      </c>
      <c r="C873" s="24">
        <f t="shared" ca="1" si="82"/>
        <v>5.9346073311541292E-2</v>
      </c>
      <c r="D873" s="24">
        <f t="shared" ca="1" si="83"/>
        <v>4.2214178569020828E-2</v>
      </c>
      <c r="E873" s="24">
        <f t="shared" ca="1" si="84"/>
        <v>5.2938475441435179E-2</v>
      </c>
      <c r="F873" s="25">
        <f ca="1">'Single Simulation'!$AP$4*Results!C873</f>
        <v>112525.8557238067</v>
      </c>
      <c r="G873" s="25">
        <f ca="1">'Single Simulation'!$AP$5*Results!D873</f>
        <v>39928.229610053779</v>
      </c>
      <c r="H873" s="25">
        <f t="shared" ca="1" si="80"/>
        <v>72597.626113752922</v>
      </c>
      <c r="I873" s="25">
        <f t="shared" ca="1" si="81"/>
        <v>3843.2076471294022</v>
      </c>
      <c r="J873" s="25">
        <f ca="1">'Single Simulation'!$AP$7*Results!E873</f>
        <v>739658.18303104106</v>
      </c>
      <c r="K873" s="28" t="str">
        <f t="shared" ca="1" si="85"/>
        <v>No</v>
      </c>
    </row>
    <row r="874" spans="2:11" ht="11.25" hidden="1">
      <c r="B874" s="27">
        <v>872</v>
      </c>
      <c r="C874" s="29">
        <f t="shared" ca="1" si="82"/>
        <v>8.1351093663834292E-2</v>
      </c>
      <c r="D874" s="29">
        <f t="shared" ca="1" si="83"/>
        <v>3.7294204859045325E-2</v>
      </c>
      <c r="E874" s="29">
        <f t="shared" ca="1" si="84"/>
        <v>2.380632416256874E-2</v>
      </c>
      <c r="F874" s="30">
        <f ca="1">'Single Simulation'!$AP$4*Results!C874</f>
        <v>154249.488092252</v>
      </c>
      <c r="G874" s="30">
        <f ca="1">'Single Simulation'!$AP$5*Results!D874</f>
        <v>35274.678442496697</v>
      </c>
      <c r="H874" s="30">
        <f t="shared" ca="1" si="80"/>
        <v>118974.80964975531</v>
      </c>
      <c r="I874" s="30">
        <f t="shared" ca="1" si="81"/>
        <v>2832.352885701986</v>
      </c>
      <c r="J874" s="25">
        <f ca="1">'Single Simulation'!$AP$7*Results!E874</f>
        <v>332622.77252796135</v>
      </c>
      <c r="K874" s="28" t="str">
        <f t="shared" ca="1" si="85"/>
        <v>No</v>
      </c>
    </row>
    <row r="875" spans="2:11" ht="11.25" hidden="1">
      <c r="B875" s="27">
        <v>873</v>
      </c>
      <c r="C875" s="24">
        <f t="shared" ca="1" si="82"/>
        <v>3.0670700575322264E-2</v>
      </c>
      <c r="D875" s="24">
        <f t="shared" ca="1" si="83"/>
        <v>3.2304571291744494E-2</v>
      </c>
      <c r="E875" s="24">
        <f t="shared" ca="1" si="84"/>
        <v>0.13250394322093742</v>
      </c>
      <c r="F875" s="25">
        <f ca="1">'Single Simulation'!$AP$4*Results!C875</f>
        <v>58154.594487982897</v>
      </c>
      <c r="G875" s="25">
        <f ca="1">'Single Simulation'!$AP$5*Results!D875</f>
        <v>30555.239583358889</v>
      </c>
      <c r="H875" s="25">
        <f t="shared" ca="1" si="80"/>
        <v>27599.354904624008</v>
      </c>
      <c r="I875" s="25">
        <f t="shared" ca="1" si="81"/>
        <v>3657.0233552168002</v>
      </c>
      <c r="J875" s="25">
        <f ca="1">'Single Simulation'!$AP$7*Results!E875</f>
        <v>1851349.6104675466</v>
      </c>
      <c r="K875" s="28" t="str">
        <f t="shared" ca="1" si="85"/>
        <v>No</v>
      </c>
    </row>
    <row r="876" spans="2:11" ht="11.25" hidden="1">
      <c r="B876" s="27">
        <v>874</v>
      </c>
      <c r="C876" s="29">
        <f t="shared" ca="1" si="82"/>
        <v>7.4037119033638937E-2</v>
      </c>
      <c r="D876" s="29">
        <f t="shared" ca="1" si="83"/>
        <v>6.6189944767516301E-2</v>
      </c>
      <c r="E876" s="29">
        <f t="shared" ca="1" si="84"/>
        <v>5.6322410718103913E-2</v>
      </c>
      <c r="F876" s="30">
        <f ca="1">'Single Simulation'!$AP$4*Results!C876</f>
        <v>140381.48962023025</v>
      </c>
      <c r="G876" s="30">
        <f ca="1">'Single Simulation'!$AP$5*Results!D876</f>
        <v>62605.678995579001</v>
      </c>
      <c r="H876" s="30">
        <f t="shared" ca="1" si="80"/>
        <v>77775.810624651247</v>
      </c>
      <c r="I876" s="30">
        <f t="shared" ca="1" si="81"/>
        <v>4380.521149935078</v>
      </c>
      <c r="J876" s="25">
        <f ca="1">'Single Simulation'!$AP$7*Results!E876</f>
        <v>786938.6420424534</v>
      </c>
      <c r="K876" s="28" t="str">
        <f t="shared" ca="1" si="85"/>
        <v>No</v>
      </c>
    </row>
    <row r="877" spans="2:11" ht="11.25" hidden="1">
      <c r="B877" s="27">
        <v>875</v>
      </c>
      <c r="C877" s="24">
        <f t="shared" ca="1" si="82"/>
        <v>3.6980167162316314E-2</v>
      </c>
      <c r="D877" s="24">
        <f t="shared" ca="1" si="83"/>
        <v>4.4437050752522522E-2</v>
      </c>
      <c r="E877" s="24">
        <f t="shared" ca="1" si="84"/>
        <v>3.5915693076001932E-2</v>
      </c>
      <c r="F877" s="25">
        <f ca="1">'Single Simulation'!$AP$4*Results!C877</f>
        <v>70117.949218045527</v>
      </c>
      <c r="G877" s="25">
        <f ca="1">'Single Simulation'!$AP$5*Results!D877</f>
        <v>42030.730569335523</v>
      </c>
      <c r="H877" s="25">
        <f t="shared" ca="1" si="80"/>
        <v>28087.218648710004</v>
      </c>
      <c r="I877" s="25">
        <f t="shared" ca="1" si="81"/>
        <v>1008.7719243456263</v>
      </c>
      <c r="J877" s="25">
        <f ca="1">'Single Simulation'!$AP$7*Results!E877</f>
        <v>501815.28767833242</v>
      </c>
      <c r="K877" s="28" t="str">
        <f t="shared" ca="1" si="85"/>
        <v>No</v>
      </c>
    </row>
    <row r="878" spans="2:11" ht="11.25" hidden="1">
      <c r="B878" s="27">
        <v>876</v>
      </c>
      <c r="C878" s="29">
        <f t="shared" ca="1" si="82"/>
        <v>4.7070076430750299E-2</v>
      </c>
      <c r="D878" s="29">
        <f t="shared" ca="1" si="83"/>
        <v>0.08</v>
      </c>
      <c r="E878" s="29">
        <f t="shared" ca="1" si="84"/>
        <v>2.4163536942532253E-2</v>
      </c>
      <c r="F878" s="30">
        <f ca="1">'Single Simulation'!$AP$4*Results!C878</f>
        <v>89249.386417704387</v>
      </c>
      <c r="G878" s="30">
        <f ca="1">'Single Simulation'!$AP$5*Results!D878</f>
        <v>75667.90299097354</v>
      </c>
      <c r="H878" s="30">
        <f t="shared" ca="1" si="80"/>
        <v>13581.483426730847</v>
      </c>
      <c r="I878" s="30">
        <f t="shared" ca="1" si="81"/>
        <v>328.17667651620036</v>
      </c>
      <c r="J878" s="25">
        <f ca="1">'Single Simulation'!$AP$7*Results!E878</f>
        <v>337613.76166355854</v>
      </c>
      <c r="K878" s="28" t="str">
        <f t="shared" ca="1" si="85"/>
        <v>No</v>
      </c>
    </row>
    <row r="879" spans="2:11" ht="11.25" hidden="1">
      <c r="B879" s="27">
        <v>877</v>
      </c>
      <c r="C879" s="24">
        <f t="shared" ca="1" si="82"/>
        <v>6.8921901503594063E-2</v>
      </c>
      <c r="D879" s="24">
        <f t="shared" ca="1" si="83"/>
        <v>4.1285066517648704E-2</v>
      </c>
      <c r="E879" s="24">
        <f t="shared" ca="1" si="84"/>
        <v>6.4217134252335495E-2</v>
      </c>
      <c r="F879" s="25">
        <f ca="1">'Single Simulation'!$AP$4*Results!C879</f>
        <v>130682.54582052687</v>
      </c>
      <c r="G879" s="25">
        <f ca="1">'Single Simulation'!$AP$5*Results!D879</f>
        <v>39049.430102916645</v>
      </c>
      <c r="H879" s="25">
        <f t="shared" ca="1" si="80"/>
        <v>91633.115717610228</v>
      </c>
      <c r="I879" s="25">
        <f t="shared" ca="1" si="81"/>
        <v>5884.41609399757</v>
      </c>
      <c r="J879" s="25">
        <f ca="1">'Single Simulation'!$AP$7*Results!E879</f>
        <v>897243.98831790756</v>
      </c>
      <c r="K879" s="28" t="str">
        <f t="shared" ca="1" si="85"/>
        <v>No</v>
      </c>
    </row>
    <row r="880" spans="2:11" ht="11.25" hidden="1">
      <c r="B880" s="27">
        <v>878</v>
      </c>
      <c r="C880" s="29">
        <f t="shared" ca="1" si="82"/>
        <v>8.2672733423729605E-2</v>
      </c>
      <c r="D880" s="29">
        <f t="shared" ca="1" si="83"/>
        <v>4.4557093115600521E-2</v>
      </c>
      <c r="E880" s="29">
        <f t="shared" ca="1" si="84"/>
        <v>5.3098030905153332E-2</v>
      </c>
      <c r="F880" s="30">
        <f ca="1">'Single Simulation'!$AP$4*Results!C880</f>
        <v>156755.44403242209</v>
      </c>
      <c r="G880" s="30">
        <f ca="1">'Single Simulation'!$AP$5*Results!D880</f>
        <v>42144.27249288794</v>
      </c>
      <c r="H880" s="30">
        <f t="shared" ca="1" si="80"/>
        <v>114611.17153953415</v>
      </c>
      <c r="I880" s="30">
        <f t="shared" ca="1" si="81"/>
        <v>6085.627528482014</v>
      </c>
      <c r="J880" s="25">
        <f ca="1">'Single Simulation'!$AP$7*Results!E880</f>
        <v>741887.49740782171</v>
      </c>
      <c r="K880" s="28" t="str">
        <f t="shared" ca="1" si="85"/>
        <v>No</v>
      </c>
    </row>
    <row r="881" spans="2:11" ht="11.25" hidden="1">
      <c r="B881" s="27">
        <v>879</v>
      </c>
      <c r="C881" s="24">
        <f t="shared" ca="1" si="82"/>
        <v>5.3107130995939722E-2</v>
      </c>
      <c r="D881" s="24">
        <f t="shared" ca="1" si="83"/>
        <v>0.08</v>
      </c>
      <c r="E881" s="24">
        <f t="shared" ca="1" si="84"/>
        <v>2.8509697586876701E-2</v>
      </c>
      <c r="F881" s="25">
        <f ca="1">'Single Simulation'!$AP$4*Results!C881</f>
        <v>100696.22178679598</v>
      </c>
      <c r="G881" s="25">
        <f ca="1">'Single Simulation'!$AP$5*Results!D881</f>
        <v>75667.90299097354</v>
      </c>
      <c r="H881" s="25">
        <f t="shared" ca="1" si="80"/>
        <v>25028.318795822444</v>
      </c>
      <c r="I881" s="25">
        <f t="shared" ca="1" si="81"/>
        <v>713.54979997683995</v>
      </c>
      <c r="J881" s="25">
        <f ca="1">'Single Simulation'!$AP$7*Results!E881</f>
        <v>398338.46630514128</v>
      </c>
      <c r="K881" s="28" t="str">
        <f t="shared" ca="1" si="85"/>
        <v>No</v>
      </c>
    </row>
    <row r="882" spans="2:11" ht="11.25" hidden="1">
      <c r="B882" s="27">
        <v>880</v>
      </c>
      <c r="C882" s="29">
        <f t="shared" ca="1" si="82"/>
        <v>8.122291291915551E-2</v>
      </c>
      <c r="D882" s="29">
        <f t="shared" ca="1" si="83"/>
        <v>3.397071409658195E-2</v>
      </c>
      <c r="E882" s="29">
        <f t="shared" ca="1" si="84"/>
        <v>4.7474581945715612E-2</v>
      </c>
      <c r="F882" s="30">
        <f ca="1">'Single Simulation'!$AP$4*Results!C882</f>
        <v>154006.44508742544</v>
      </c>
      <c r="G882" s="30">
        <f ca="1">'Single Simulation'!$AP$5*Results!D882</f>
        <v>32131.158734928253</v>
      </c>
      <c r="H882" s="30">
        <f t="shared" ca="1" si="80"/>
        <v>121875.28635249719</v>
      </c>
      <c r="I882" s="30">
        <f t="shared" ca="1" si="81"/>
        <v>5785.9782690991833</v>
      </c>
      <c r="J882" s="25">
        <f ca="1">'Single Simulation'!$AP$7*Results!E882</f>
        <v>663316.4768972859</v>
      </c>
      <c r="K882" s="28" t="str">
        <f t="shared" ca="1" si="85"/>
        <v>No</v>
      </c>
    </row>
    <row r="883" spans="2:11" ht="11.25" hidden="1">
      <c r="B883" s="27">
        <v>881</v>
      </c>
      <c r="C883" s="24">
        <f t="shared" ca="1" si="82"/>
        <v>8.7562128034124956E-2</v>
      </c>
      <c r="D883" s="24">
        <f t="shared" ca="1" si="83"/>
        <v>5.3109683511827772E-2</v>
      </c>
      <c r="E883" s="24">
        <f t="shared" ca="1" si="84"/>
        <v>6.5587438146491428E-2</v>
      </c>
      <c r="F883" s="25">
        <f ca="1">'Single Simulation'!$AP$4*Results!C883</f>
        <v>166026.20588414359</v>
      </c>
      <c r="G883" s="25">
        <f ca="1">'Single Simulation'!$AP$5*Results!D883</f>
        <v>50233.72974817863</v>
      </c>
      <c r="H883" s="25">
        <f t="shared" ref="H883:H946" ca="1" si="86">F883-G883</f>
        <v>115792.47613596497</v>
      </c>
      <c r="I883" s="25">
        <f t="shared" ref="I883:I946" ca="1" si="87">H883*E883</f>
        <v>7594.5318663966873</v>
      </c>
      <c r="J883" s="25">
        <f ca="1">'Single Simulation'!$AP$7*Results!E883</f>
        <v>916389.92102753033</v>
      </c>
      <c r="K883" s="28" t="str">
        <f t="shared" ca="1" si="85"/>
        <v>No</v>
      </c>
    </row>
    <row r="884" spans="2:11" ht="11.25" hidden="1">
      <c r="B884" s="27">
        <v>882</v>
      </c>
      <c r="C884" s="29">
        <f t="shared" ca="1" si="82"/>
        <v>7.156142654200634E-2</v>
      </c>
      <c r="D884" s="29">
        <f t="shared" ca="1" si="83"/>
        <v>3.6212827063160126E-2</v>
      </c>
      <c r="E884" s="29">
        <f t="shared" ca="1" si="84"/>
        <v>-5.1598912518883572E-3</v>
      </c>
      <c r="F884" s="30">
        <f ca="1">'Single Simulation'!$AP$4*Results!C884</f>
        <v>135687.33884352192</v>
      </c>
      <c r="G884" s="30">
        <f ca="1">'Single Simulation'!$AP$5*Results!D884</f>
        <v>34251.858565551265</v>
      </c>
      <c r="H884" s="30">
        <f t="shared" ca="1" si="86"/>
        <v>101435.48027797067</v>
      </c>
      <c r="I884" s="30">
        <f t="shared" ca="1" si="87"/>
        <v>-523.39604731739485</v>
      </c>
      <c r="J884" s="25">
        <f ca="1">'Single Simulation'!$AP$7*Results!E884</f>
        <v>-72094.176422433782</v>
      </c>
      <c r="K884" s="28" t="str">
        <f t="shared" ca="1" si="85"/>
        <v>No</v>
      </c>
    </row>
    <row r="885" spans="2:11" ht="11.25" hidden="1">
      <c r="B885" s="27">
        <v>883</v>
      </c>
      <c r="C885" s="24">
        <f t="shared" ca="1" si="82"/>
        <v>6.3470593752271348E-2</v>
      </c>
      <c r="D885" s="24">
        <f t="shared" ca="1" si="83"/>
        <v>6.1222334464139237E-2</v>
      </c>
      <c r="E885" s="24">
        <f t="shared" ca="1" si="84"/>
        <v>5.8517806018078593E-2</v>
      </c>
      <c r="F885" s="25">
        <f ca="1">'Single Simulation'!$AP$4*Results!C885</f>
        <v>120346.34267678633</v>
      </c>
      <c r="G885" s="25">
        <f ca="1">'Single Simulation'!$AP$5*Results!D885</f>
        <v>57907.070813917795</v>
      </c>
      <c r="H885" s="25">
        <f t="shared" ca="1" si="86"/>
        <v>62439.271862868532</v>
      </c>
      <c r="I885" s="25">
        <f t="shared" ca="1" si="87"/>
        <v>3653.8091987814137</v>
      </c>
      <c r="J885" s="25">
        <f ca="1">'Single Simulation'!$AP$7*Results!E885</f>
        <v>817612.77999360359</v>
      </c>
      <c r="K885" s="28" t="str">
        <f t="shared" ca="1" si="85"/>
        <v>No</v>
      </c>
    </row>
    <row r="886" spans="2:11" ht="11.25" hidden="1">
      <c r="B886" s="27">
        <v>884</v>
      </c>
      <c r="C886" s="29">
        <f t="shared" ca="1" si="82"/>
        <v>7.3730536899974955E-2</v>
      </c>
      <c r="D886" s="29">
        <f t="shared" ca="1" si="83"/>
        <v>5.8510207495494182E-2</v>
      </c>
      <c r="E886" s="29">
        <f t="shared" ca="1" si="84"/>
        <v>0.1089176990392044</v>
      </c>
      <c r="F886" s="30">
        <f ca="1">'Single Simulation'!$AP$4*Results!C886</f>
        <v>139800.18044482672</v>
      </c>
      <c r="G886" s="30">
        <f ca="1">'Single Simulation'!$AP$5*Results!D886</f>
        <v>55341.808809384827</v>
      </c>
      <c r="H886" s="30">
        <f t="shared" ca="1" si="86"/>
        <v>84458.371635441901</v>
      </c>
      <c r="I886" s="30">
        <f t="shared" ca="1" si="87"/>
        <v>9199.0115031303376</v>
      </c>
      <c r="J886" s="25">
        <f ca="1">'Single Simulation'!$AP$7*Results!E886</f>
        <v>1521801.802932231</v>
      </c>
      <c r="K886" s="28" t="str">
        <f t="shared" ca="1" si="85"/>
        <v>No</v>
      </c>
    </row>
    <row r="887" spans="2:11" ht="11.25" hidden="1">
      <c r="B887" s="27">
        <v>885</v>
      </c>
      <c r="C887" s="24">
        <f t="shared" ca="1" si="82"/>
        <v>5.815126099401699E-2</v>
      </c>
      <c r="D887" s="24">
        <f t="shared" ca="1" si="83"/>
        <v>6.4709563994608588E-2</v>
      </c>
      <c r="E887" s="24">
        <f t="shared" ca="1" si="84"/>
        <v>0.13464739121741681</v>
      </c>
      <c r="F887" s="25">
        <f ca="1">'Single Simulation'!$AP$4*Results!C887</f>
        <v>110260.37679729075</v>
      </c>
      <c r="G887" s="25">
        <f ca="1">'Single Simulation'!$AP$5*Results!D887</f>
        <v>61205.462636652956</v>
      </c>
      <c r="H887" s="25">
        <f t="shared" ca="1" si="86"/>
        <v>49054.914160637796</v>
      </c>
      <c r="I887" s="25">
        <f t="shared" ca="1" si="87"/>
        <v>6605.1162181241971</v>
      </c>
      <c r="J887" s="25">
        <f ca="1">'Single Simulation'!$AP$7*Results!E887</f>
        <v>1881297.9389238767</v>
      </c>
      <c r="K887" s="28" t="str">
        <f t="shared" ca="1" si="85"/>
        <v>No</v>
      </c>
    </row>
    <row r="888" spans="2:11" ht="11.25" hidden="1">
      <c r="B888" s="27">
        <v>886</v>
      </c>
      <c r="C888" s="29">
        <f t="shared" ca="1" si="82"/>
        <v>4.9129688576194028E-2</v>
      </c>
      <c r="D888" s="29">
        <f t="shared" ca="1" si="83"/>
        <v>5.2895069381261949E-2</v>
      </c>
      <c r="E888" s="29">
        <f t="shared" ca="1" si="84"/>
        <v>6.3575751398961822E-2</v>
      </c>
      <c r="F888" s="30">
        <f ca="1">'Single Simulation'!$AP$4*Results!C888</f>
        <v>93154.60888977196</v>
      </c>
      <c r="G888" s="30">
        <f ca="1">'Single Simulation'!$AP$5*Results!D888</f>
        <v>50030.737233026797</v>
      </c>
      <c r="H888" s="30">
        <f t="shared" ca="1" si="86"/>
        <v>43123.871656745163</v>
      </c>
      <c r="I888" s="30">
        <f t="shared" ca="1" si="87"/>
        <v>2741.6325438099661</v>
      </c>
      <c r="J888" s="25">
        <f ca="1">'Single Simulation'!$AP$7*Results!E888</f>
        <v>888282.56523199985</v>
      </c>
      <c r="K888" s="28" t="str">
        <f t="shared" ca="1" si="85"/>
        <v>No</v>
      </c>
    </row>
    <row r="889" spans="2:11" ht="11.25" hidden="1">
      <c r="B889" s="27">
        <v>887</v>
      </c>
      <c r="C889" s="24">
        <f t="shared" ca="1" si="82"/>
        <v>6.5246138485643715E-2</v>
      </c>
      <c r="D889" s="24">
        <f t="shared" ca="1" si="83"/>
        <v>4.4757160098230983E-2</v>
      </c>
      <c r="E889" s="24">
        <f t="shared" ca="1" si="84"/>
        <v>5.8837310625138146E-2</v>
      </c>
      <c r="F889" s="25">
        <f ca="1">'Single Simulation'!$AP$4*Results!C889</f>
        <v>123712.94604833187</v>
      </c>
      <c r="G889" s="25">
        <f ca="1">'Single Simulation'!$AP$5*Results!D889</f>
        <v>42333.50560580517</v>
      </c>
      <c r="H889" s="25">
        <f t="shared" ca="1" si="86"/>
        <v>81379.440442526698</v>
      </c>
      <c r="I889" s="25">
        <f t="shared" ca="1" si="87"/>
        <v>4788.147415816873</v>
      </c>
      <c r="J889" s="25">
        <f ca="1">'Single Simulation'!$AP$7*Results!E889</f>
        <v>822076.90925227781</v>
      </c>
      <c r="K889" s="28" t="str">
        <f t="shared" ca="1" si="85"/>
        <v>No</v>
      </c>
    </row>
    <row r="890" spans="2:11" ht="11.25" hidden="1">
      <c r="B890" s="27">
        <v>888</v>
      </c>
      <c r="C890" s="29">
        <f t="shared" ca="1" si="82"/>
        <v>5.866067464188654E-2</v>
      </c>
      <c r="D890" s="29">
        <f t="shared" ca="1" si="83"/>
        <v>5.113110829119176E-2</v>
      </c>
      <c r="E890" s="29">
        <f t="shared" ca="1" si="84"/>
        <v>3.7606217530867063E-2</v>
      </c>
      <c r="F890" s="30">
        <f ca="1">'Single Simulation'!$AP$4*Results!C890</f>
        <v>111226.27400742276</v>
      </c>
      <c r="G890" s="30">
        <f ca="1">'Single Simulation'!$AP$5*Results!D890</f>
        <v>48362.296774985756</v>
      </c>
      <c r="H890" s="30">
        <f t="shared" ca="1" si="86"/>
        <v>62863.977232437006</v>
      </c>
      <c r="I890" s="30">
        <f t="shared" ca="1" si="87"/>
        <v>2364.0764026585002</v>
      </c>
      <c r="J890" s="25">
        <f ca="1">'Single Simulation'!$AP$7*Results!E890</f>
        <v>525435.35297542217</v>
      </c>
      <c r="K890" s="28" t="str">
        <f t="shared" ca="1" si="85"/>
        <v>No</v>
      </c>
    </row>
    <row r="891" spans="2:11" ht="11.25" hidden="1">
      <c r="B891" s="27">
        <v>889</v>
      </c>
      <c r="C891" s="24">
        <f t="shared" ca="1" si="82"/>
        <v>9.9999102504151172E-2</v>
      </c>
      <c r="D891" s="24">
        <f t="shared" ca="1" si="83"/>
        <v>6.07551257360553E-2</v>
      </c>
      <c r="E891" s="24">
        <f t="shared" ca="1" si="84"/>
        <v>9.8283506551242489E-2</v>
      </c>
      <c r="F891" s="25">
        <f ca="1">'Single Simulation'!$AP$4*Results!C891</f>
        <v>189607.90416278393</v>
      </c>
      <c r="G891" s="25">
        <f ca="1">'Single Simulation'!$AP$5*Results!D891</f>
        <v>57465.162005002901</v>
      </c>
      <c r="H891" s="25">
        <f t="shared" ca="1" si="86"/>
        <v>132142.74215778103</v>
      </c>
      <c r="I891" s="25">
        <f t="shared" ca="1" si="87"/>
        <v>12987.452064563418</v>
      </c>
      <c r="J891" s="25">
        <f ca="1">'Single Simulation'!$AP$7*Results!E891</f>
        <v>1373220.5030731165</v>
      </c>
      <c r="K891" s="28" t="str">
        <f t="shared" ca="1" si="85"/>
        <v>No</v>
      </c>
    </row>
    <row r="892" spans="2:11" ht="11.25" hidden="1">
      <c r="B892" s="27">
        <v>890</v>
      </c>
      <c r="C892" s="29">
        <f t="shared" ca="1" si="82"/>
        <v>6.2682260876628232E-2</v>
      </c>
      <c r="D892" s="29">
        <f t="shared" ca="1" si="83"/>
        <v>5.2708850304488936E-2</v>
      </c>
      <c r="E892" s="29">
        <f t="shared" ca="1" si="84"/>
        <v>4.2795715903457231E-2</v>
      </c>
      <c r="F892" s="30">
        <f ca="1">'Single Simulation'!$AP$4*Results!C892</f>
        <v>118851.58781809041</v>
      </c>
      <c r="G892" s="30">
        <f ca="1">'Single Simulation'!$AP$5*Results!D892</f>
        <v>49854.602145072684</v>
      </c>
      <c r="H892" s="30">
        <f t="shared" ca="1" si="86"/>
        <v>68996.985673017727</v>
      </c>
      <c r="I892" s="30">
        <f t="shared" ca="1" si="87"/>
        <v>2952.7753970573754</v>
      </c>
      <c r="J892" s="25">
        <f ca="1">'Single Simulation'!$AP$7*Results!E892</f>
        <v>597943.20109732356</v>
      </c>
      <c r="K892" s="28" t="str">
        <f t="shared" ca="1" si="85"/>
        <v>No</v>
      </c>
    </row>
    <row r="893" spans="2:11" ht="11.25" hidden="1">
      <c r="B893" s="27">
        <v>891</v>
      </c>
      <c r="C893" s="24">
        <f t="shared" ca="1" si="82"/>
        <v>5.1811948708592875E-2</v>
      </c>
      <c r="D893" s="24">
        <f t="shared" ca="1" si="83"/>
        <v>5.2776606383354067E-2</v>
      </c>
      <c r="E893" s="24">
        <f t="shared" ca="1" si="84"/>
        <v>2.271997380153138E-2</v>
      </c>
      <c r="F893" s="25">
        <f ca="1">'Single Simulation'!$AP$4*Results!C893</f>
        <v>98240.431756056438</v>
      </c>
      <c r="G893" s="25">
        <f ca="1">'Single Simulation'!$AP$5*Results!D893</f>
        <v>49918.689150105376</v>
      </c>
      <c r="H893" s="25">
        <f t="shared" ca="1" si="86"/>
        <v>48321.742605951062</v>
      </c>
      <c r="I893" s="25">
        <f t="shared" ca="1" si="87"/>
        <v>1097.8687260515508</v>
      </c>
      <c r="J893" s="25">
        <f ca="1">'Single Simulation'!$AP$7*Results!E893</f>
        <v>317444.24826031533</v>
      </c>
      <c r="K893" s="28" t="str">
        <f t="shared" ca="1" si="85"/>
        <v>No</v>
      </c>
    </row>
    <row r="894" spans="2:11" ht="11.25" hidden="1">
      <c r="B894" s="27">
        <v>892</v>
      </c>
      <c r="C894" s="29">
        <f t="shared" ca="1" si="82"/>
        <v>6.2910139267246812E-2</v>
      </c>
      <c r="D894" s="29">
        <f t="shared" ca="1" si="83"/>
        <v>4.1040737089387602E-2</v>
      </c>
      <c r="E894" s="29">
        <f t="shared" ca="1" si="84"/>
        <v>8.171589155505074E-2</v>
      </c>
      <c r="F894" s="30">
        <f ca="1">'Single Simulation'!$AP$4*Results!C894</f>
        <v>119283.66713647613</v>
      </c>
      <c r="G894" s="30">
        <f ca="1">'Single Simulation'!$AP$5*Results!D894</f>
        <v>38818.331409472885</v>
      </c>
      <c r="H894" s="30">
        <f t="shared" ca="1" si="86"/>
        <v>80465.335727003243</v>
      </c>
      <c r="I894" s="30">
        <f t="shared" ca="1" si="87"/>
        <v>6575.2966482085467</v>
      </c>
      <c r="J894" s="25">
        <f ca="1">'Single Simulation'!$AP$7*Results!E894</f>
        <v>1141737.2217157264</v>
      </c>
      <c r="K894" s="28" t="str">
        <f t="shared" ca="1" si="85"/>
        <v>No</v>
      </c>
    </row>
    <row r="895" spans="2:11" ht="11.25" hidden="1">
      <c r="B895" s="27">
        <v>893</v>
      </c>
      <c r="C895" s="24">
        <f t="shared" ca="1" si="82"/>
        <v>7.4456709508061922E-2</v>
      </c>
      <c r="D895" s="24">
        <f t="shared" ca="1" si="83"/>
        <v>2.0197938677511185E-2</v>
      </c>
      <c r="E895" s="24">
        <f t="shared" ca="1" si="84"/>
        <v>1.9974551791535955E-2</v>
      </c>
      <c r="F895" s="25">
        <f ca="1">'Single Simulation'!$AP$4*Results!C895</f>
        <v>141177.07346518233</v>
      </c>
      <c r="G895" s="25">
        <f ca="1">'Single Simulation'!$AP$5*Results!D895</f>
        <v>19104.19580584436</v>
      </c>
      <c r="H895" s="25">
        <f t="shared" ca="1" si="86"/>
        <v>122072.87765933797</v>
      </c>
      <c r="I895" s="25">
        <f t="shared" ca="1" si="87"/>
        <v>2438.351017148279</v>
      </c>
      <c r="J895" s="25">
        <f ca="1">'Single Simulation'!$AP$7*Results!E895</f>
        <v>279085.11837163649</v>
      </c>
      <c r="K895" s="28" t="str">
        <f t="shared" ca="1" si="85"/>
        <v>No</v>
      </c>
    </row>
    <row r="896" spans="2:11" ht="11.25" hidden="1">
      <c r="B896" s="27">
        <v>894</v>
      </c>
      <c r="C896" s="29">
        <f t="shared" ca="1" si="82"/>
        <v>4.0941276534171497E-2</v>
      </c>
      <c r="D896" s="29">
        <f t="shared" ca="1" si="83"/>
        <v>5.3542494140129404E-2</v>
      </c>
      <c r="E896" s="29">
        <f t="shared" ca="1" si="84"/>
        <v>0.10944586626286751</v>
      </c>
      <c r="F896" s="30">
        <f ca="1">'Single Simulation'!$AP$4*Results!C896</f>
        <v>77628.593087332702</v>
      </c>
      <c r="G896" s="30">
        <f ca="1">'Single Simulation'!$AP$5*Results!D896</f>
        <v>50643.10315612601</v>
      </c>
      <c r="H896" s="30">
        <f t="shared" ca="1" si="86"/>
        <v>26985.489931206692</v>
      </c>
      <c r="I896" s="30">
        <f t="shared" ca="1" si="87"/>
        <v>2953.4503220488054</v>
      </c>
      <c r="J896" s="25">
        <f ca="1">'Single Simulation'!$AP$7*Results!E896</f>
        <v>1529181.3733813912</v>
      </c>
      <c r="K896" s="28" t="str">
        <f t="shared" ca="1" si="85"/>
        <v>No</v>
      </c>
    </row>
    <row r="897" spans="2:11" ht="11.25" hidden="1">
      <c r="B897" s="27">
        <v>895</v>
      </c>
      <c r="C897" s="24">
        <f t="shared" ca="1" si="82"/>
        <v>5.702166113673366E-2</v>
      </c>
      <c r="D897" s="24">
        <f t="shared" ca="1" si="83"/>
        <v>6.1392277419070017E-2</v>
      </c>
      <c r="E897" s="24">
        <f t="shared" ca="1" si="84"/>
        <v>7.8562351887834281E-2</v>
      </c>
      <c r="F897" s="25">
        <f ca="1">'Single Simulation'!$AP$4*Results!C897</f>
        <v>108118.54695963615</v>
      </c>
      <c r="G897" s="25">
        <f ca="1">'Single Simulation'!$AP$5*Results!D897</f>
        <v>58067.811151764065</v>
      </c>
      <c r="H897" s="25">
        <f t="shared" ca="1" si="86"/>
        <v>50050.735807872086</v>
      </c>
      <c r="I897" s="25">
        <f t="shared" ca="1" si="87"/>
        <v>3932.1035187830744</v>
      </c>
      <c r="J897" s="25">
        <f ca="1">'Single Simulation'!$AP$7*Results!E897</f>
        <v>1097675.858011551</v>
      </c>
      <c r="K897" s="28" t="str">
        <f t="shared" ca="1" si="85"/>
        <v>No</v>
      </c>
    </row>
    <row r="898" spans="2:11" ht="11.25" hidden="1">
      <c r="B898" s="27">
        <v>896</v>
      </c>
      <c r="C898" s="29">
        <f t="shared" ca="1" si="82"/>
        <v>7.5913913875449934E-2</v>
      </c>
      <c r="D898" s="29">
        <f t="shared" ca="1" si="83"/>
        <v>6.1502175029352096E-2</v>
      </c>
      <c r="E898" s="29">
        <f t="shared" ca="1" si="84"/>
        <v>5.0436245291610907E-2</v>
      </c>
      <c r="F898" s="30">
        <f ca="1">'Single Simulation'!$AP$4*Results!C898</f>
        <v>143940.07292336074</v>
      </c>
      <c r="G898" s="30">
        <f ca="1">'Single Simulation'!$AP$5*Results!D898</f>
        <v>58171.757673186119</v>
      </c>
      <c r="H898" s="30">
        <f t="shared" ca="1" si="86"/>
        <v>85768.315250174623</v>
      </c>
      <c r="I898" s="30">
        <f t="shared" ca="1" si="87"/>
        <v>4325.8317862060194</v>
      </c>
      <c r="J898" s="25">
        <f ca="1">'Single Simulation'!$AP$7*Results!E898</f>
        <v>704696.93810074439</v>
      </c>
      <c r="K898" s="28" t="str">
        <f t="shared" ca="1" si="85"/>
        <v>No</v>
      </c>
    </row>
    <row r="899" spans="2:11" ht="11.25" hidden="1">
      <c r="B899" s="27">
        <v>897</v>
      </c>
      <c r="C899" s="24">
        <f t="shared" ca="1" si="82"/>
        <v>3.8845195587401057E-2</v>
      </c>
      <c r="D899" s="24">
        <f t="shared" ca="1" si="83"/>
        <v>4.1259894286237983E-2</v>
      </c>
      <c r="E899" s="24">
        <f t="shared" ca="1" si="84"/>
        <v>2.9948934291864279E-2</v>
      </c>
      <c r="F899" s="25">
        <f ca="1">'Single Simulation'!$AP$4*Results!C899</f>
        <v>73654.222264792683</v>
      </c>
      <c r="G899" s="25">
        <f ca="1">'Single Simulation'!$AP$5*Results!D899</f>
        <v>39025.620978360988</v>
      </c>
      <c r="H899" s="25">
        <f t="shared" ca="1" si="86"/>
        <v>34628.601286431694</v>
      </c>
      <c r="I899" s="25">
        <f t="shared" ca="1" si="87"/>
        <v>1037.0897045465097</v>
      </c>
      <c r="J899" s="25">
        <f ca="1">'Single Simulation'!$AP$7*Results!E899</f>
        <v>418447.53059696016</v>
      </c>
      <c r="K899" s="28" t="str">
        <f t="shared" ca="1" si="85"/>
        <v>No</v>
      </c>
    </row>
    <row r="900" spans="2:11" ht="11.25" hidden="1">
      <c r="B900" s="27">
        <v>898</v>
      </c>
      <c r="C900" s="29">
        <f t="shared" ref="C900:C963" ca="1" si="88">MAX(0.02,MIN(0.12,_xlfn.NORM.INV(RAND(),0.06,0.02)))</f>
        <v>5.1154974590505296E-2</v>
      </c>
      <c r="D900" s="29">
        <f t="shared" ref="D900:D963" ca="1" si="89">MAX(0.02,MIN(0.08,_xlfn.NORM.INV(RAND(),0.05,0.015)))</f>
        <v>4.3059123365951919E-2</v>
      </c>
      <c r="E900" s="29">
        <f t="shared" ref="E900:E963" ca="1" si="90">MAX(-0.1,MIN(0.25,_xlfn.NORM.INV(RAND(),0.07,0.04)))</f>
        <v>2.2544309223098274E-2</v>
      </c>
      <c r="F900" s="30">
        <f ca="1">'Single Simulation'!$AP$4*Results!C900</f>
        <v>96994.745719878178</v>
      </c>
      <c r="G900" s="30">
        <f ca="1">'Single Simulation'!$AP$5*Results!D900</f>
        <v>40727.419621640147</v>
      </c>
      <c r="H900" s="30">
        <f t="shared" ca="1" si="86"/>
        <v>56267.326098238031</v>
      </c>
      <c r="I900" s="30">
        <f t="shared" ca="1" si="87"/>
        <v>1268.5079987155859</v>
      </c>
      <c r="J900" s="25">
        <f ca="1">'Single Simulation'!$AP$7*Results!E900</f>
        <v>314989.85678373254</v>
      </c>
      <c r="K900" s="28" t="str">
        <f t="shared" ref="K900:K963" ca="1" si="91">IF(J900&gt;$N$4,"Yes","No")</f>
        <v>No</v>
      </c>
    </row>
    <row r="901" spans="2:11" ht="11.25" hidden="1">
      <c r="B901" s="27">
        <v>899</v>
      </c>
      <c r="C901" s="24">
        <f t="shared" ca="1" si="88"/>
        <v>9.6471304557033927E-2</v>
      </c>
      <c r="D901" s="24">
        <f t="shared" ca="1" si="89"/>
        <v>4.4755551037257535E-2</v>
      </c>
      <c r="E901" s="24">
        <f t="shared" ca="1" si="90"/>
        <v>9.2773754371724637E-2</v>
      </c>
      <c r="F901" s="25">
        <f ca="1">'Single Simulation'!$AP$4*Results!C901</f>
        <v>182918.86037826692</v>
      </c>
      <c r="G901" s="25">
        <f ca="1">'Single Simulation'!$AP$5*Results!D901</f>
        <v>42331.983677434604</v>
      </c>
      <c r="H901" s="25">
        <f t="shared" ca="1" si="86"/>
        <v>140586.87670083233</v>
      </c>
      <c r="I901" s="25">
        <f t="shared" ca="1" si="87"/>
        <v>13042.772366930956</v>
      </c>
      <c r="J901" s="25">
        <f ca="1">'Single Simulation'!$AP$7*Results!E901</f>
        <v>1296238.0578464502</v>
      </c>
      <c r="K901" s="28" t="str">
        <f t="shared" ca="1" si="91"/>
        <v>No</v>
      </c>
    </row>
    <row r="902" spans="2:11" ht="11.25" hidden="1">
      <c r="B902" s="27">
        <v>900</v>
      </c>
      <c r="C902" s="29">
        <f t="shared" ca="1" si="88"/>
        <v>6.1448844960576822E-2</v>
      </c>
      <c r="D902" s="29">
        <f t="shared" ca="1" si="89"/>
        <v>4.453117399204494E-2</v>
      </c>
      <c r="E902" s="29">
        <f t="shared" ca="1" si="90"/>
        <v>0.10746815610568941</v>
      </c>
      <c r="F902" s="30">
        <f ca="1">'Single Simulation'!$AP$4*Results!C902</f>
        <v>116512.91276054356</v>
      </c>
      <c r="G902" s="30">
        <f ca="1">'Single Simulation'!$AP$5*Results!D902</f>
        <v>42119.756921302753</v>
      </c>
      <c r="H902" s="30">
        <f t="shared" ca="1" si="86"/>
        <v>74393.155839240819</v>
      </c>
      <c r="I902" s="30">
        <f t="shared" ca="1" si="87"/>
        <v>7994.8952849264124</v>
      </c>
      <c r="J902" s="25">
        <f ca="1">'Single Simulation'!$AP$7*Results!E902</f>
        <v>1501548.739664187</v>
      </c>
      <c r="K902" s="28" t="str">
        <f t="shared" ca="1" si="91"/>
        <v>No</v>
      </c>
    </row>
    <row r="903" spans="2:11" ht="11.25" hidden="1">
      <c r="B903" s="27">
        <v>901</v>
      </c>
      <c r="C903" s="24">
        <f t="shared" ca="1" si="88"/>
        <v>3.8233766900280665E-2</v>
      </c>
      <c r="D903" s="24">
        <f t="shared" ca="1" si="89"/>
        <v>5.8175126057719788E-2</v>
      </c>
      <c r="E903" s="24">
        <f t="shared" ca="1" si="90"/>
        <v>0.11355628351946348</v>
      </c>
      <c r="F903" s="25">
        <f ca="1">'Single Simulation'!$AP$4*Results!C903</f>
        <v>72494.894740777279</v>
      </c>
      <c r="G903" s="25">
        <f ca="1">'Single Simulation'!$AP$5*Results!D903</f>
        <v>55024.872437789971</v>
      </c>
      <c r="H903" s="25">
        <f t="shared" ca="1" si="86"/>
        <v>17470.022302987309</v>
      </c>
      <c r="I903" s="25">
        <f t="shared" ca="1" si="87"/>
        <v>1983.8308057293771</v>
      </c>
      <c r="J903" s="25">
        <f ca="1">'Single Simulation'!$AP$7*Results!E903</f>
        <v>1586612.2633751282</v>
      </c>
      <c r="K903" s="28" t="str">
        <f t="shared" ca="1" si="91"/>
        <v>No</v>
      </c>
    </row>
    <row r="904" spans="2:11" ht="11.25" hidden="1">
      <c r="B904" s="27">
        <v>902</v>
      </c>
      <c r="C904" s="29">
        <f t="shared" ca="1" si="88"/>
        <v>5.2244474724288441E-2</v>
      </c>
      <c r="D904" s="29">
        <f t="shared" ca="1" si="89"/>
        <v>5.3396576096226098E-2</v>
      </c>
      <c r="E904" s="29">
        <f t="shared" ca="1" si="90"/>
        <v>0.10082475787197549</v>
      </c>
      <c r="F904" s="30">
        <f ca="1">'Single Simulation'!$AP$4*Results!C904</f>
        <v>99060.542629836636</v>
      </c>
      <c r="G904" s="30">
        <f ca="1">'Single Simulation'!$AP$5*Results!D904</f>
        <v>50505.086751242161</v>
      </c>
      <c r="H904" s="30">
        <f t="shared" ca="1" si="86"/>
        <v>48555.455878594476</v>
      </c>
      <c r="I904" s="30">
        <f t="shared" ca="1" si="87"/>
        <v>4895.592082322677</v>
      </c>
      <c r="J904" s="25">
        <f ca="1">'Single Simulation'!$AP$7*Results!E904</f>
        <v>1408726.9531332061</v>
      </c>
      <c r="K904" s="28" t="str">
        <f t="shared" ca="1" si="91"/>
        <v>No</v>
      </c>
    </row>
    <row r="905" spans="2:11" ht="11.25" hidden="1">
      <c r="B905" s="27">
        <v>903</v>
      </c>
      <c r="C905" s="24">
        <f t="shared" ca="1" si="88"/>
        <v>5.5062133122361925E-2</v>
      </c>
      <c r="D905" s="24">
        <f t="shared" ca="1" si="89"/>
        <v>5.2197020906779815E-2</v>
      </c>
      <c r="E905" s="24">
        <f t="shared" ca="1" si="90"/>
        <v>1.0892154046174211E-2</v>
      </c>
      <c r="F905" s="25">
        <f ca="1">'Single Simulation'!$AP$4*Results!C905</f>
        <v>104403.09361406375</v>
      </c>
      <c r="G905" s="25">
        <f ca="1">'Single Simulation'!$AP$5*Results!D905</f>
        <v>49370.488929900406</v>
      </c>
      <c r="H905" s="25">
        <f t="shared" ca="1" si="86"/>
        <v>55032.604684163343</v>
      </c>
      <c r="I905" s="25">
        <f t="shared" ca="1" si="87"/>
        <v>599.4236077821156</v>
      </c>
      <c r="J905" s="25">
        <f ca="1">'Single Simulation'!$AP$7*Results!E905</f>
        <v>152185.5475418845</v>
      </c>
      <c r="K905" s="28" t="str">
        <f t="shared" ca="1" si="91"/>
        <v>No</v>
      </c>
    </row>
    <row r="906" spans="2:11" ht="11.25" hidden="1">
      <c r="B906" s="27">
        <v>904</v>
      </c>
      <c r="C906" s="29">
        <f t="shared" ca="1" si="88"/>
        <v>3.5730411589943417E-2</v>
      </c>
      <c r="D906" s="29">
        <f t="shared" ca="1" si="89"/>
        <v>5.1217006167656225E-2</v>
      </c>
      <c r="E906" s="29">
        <f t="shared" ca="1" si="90"/>
        <v>9.4510067197573891E-2</v>
      </c>
      <c r="F906" s="30">
        <f ca="1">'Single Simulation'!$AP$4*Results!C906</f>
        <v>67748.292602541915</v>
      </c>
      <c r="G906" s="30">
        <f ca="1">'Single Simulation'!$AP$5*Results!D906</f>
        <v>48443.543177278807</v>
      </c>
      <c r="H906" s="30">
        <f t="shared" ca="1" si="86"/>
        <v>19304.749425263108</v>
      </c>
      <c r="I906" s="30">
        <f t="shared" ca="1" si="87"/>
        <v>1824.4931654139423</v>
      </c>
      <c r="J906" s="25">
        <f ca="1">'Single Simulation'!$AP$7*Results!E906</f>
        <v>1320497.8798234153</v>
      </c>
      <c r="K906" s="28" t="str">
        <f t="shared" ca="1" si="91"/>
        <v>No</v>
      </c>
    </row>
    <row r="907" spans="2:11" ht="11.25" hidden="1">
      <c r="B907" s="27">
        <v>905</v>
      </c>
      <c r="C907" s="24">
        <f t="shared" ca="1" si="88"/>
        <v>4.7468767715005737E-2</v>
      </c>
      <c r="D907" s="24">
        <f t="shared" ca="1" si="89"/>
        <v>3.8878509496455681E-2</v>
      </c>
      <c r="E907" s="24">
        <f t="shared" ca="1" si="90"/>
        <v>0.16717985413531652</v>
      </c>
      <c r="F907" s="25">
        <f ca="1">'Single Simulation'!$AP$4*Results!C907</f>
        <v>90005.343390543261</v>
      </c>
      <c r="G907" s="25">
        <f ca="1">'Single Simulation'!$AP$5*Results!D907</f>
        <v>36773.191062643149</v>
      </c>
      <c r="H907" s="25">
        <f t="shared" ca="1" si="86"/>
        <v>53232.152327900112</v>
      </c>
      <c r="I907" s="25">
        <f t="shared" ca="1" si="87"/>
        <v>8899.3434614872913</v>
      </c>
      <c r="J907" s="25">
        <f ca="1">'Single Simulation'!$AP$7*Results!E907</f>
        <v>2335842.6195314387</v>
      </c>
      <c r="K907" s="28" t="str">
        <f t="shared" ca="1" si="91"/>
        <v>No</v>
      </c>
    </row>
    <row r="908" spans="2:11" ht="11.25" hidden="1">
      <c r="B908" s="27">
        <v>906</v>
      </c>
      <c r="C908" s="29">
        <f t="shared" ca="1" si="88"/>
        <v>8.3117899957958596E-2</v>
      </c>
      <c r="D908" s="29">
        <f t="shared" ca="1" si="89"/>
        <v>5.6190493702250197E-2</v>
      </c>
      <c r="E908" s="29">
        <f t="shared" ca="1" si="90"/>
        <v>4.3882499166920816E-2</v>
      </c>
      <c r="F908" s="30">
        <f ca="1">'Single Simulation'!$AP$4*Results!C908</f>
        <v>157599.52254357736</v>
      </c>
      <c r="G908" s="30">
        <f ca="1">'Single Simulation'!$AP$5*Results!D908</f>
        <v>53147.710330959715</v>
      </c>
      <c r="H908" s="30">
        <f t="shared" ca="1" si="86"/>
        <v>104451.81221261765</v>
      </c>
      <c r="I908" s="30">
        <f t="shared" ca="1" si="87"/>
        <v>4583.6065624035637</v>
      </c>
      <c r="J908" s="25">
        <f ca="1">'Single Simulation'!$AP$7*Results!E908</f>
        <v>613127.77389242232</v>
      </c>
      <c r="K908" s="28" t="str">
        <f t="shared" ca="1" si="91"/>
        <v>No</v>
      </c>
    </row>
    <row r="909" spans="2:11" ht="11.25" hidden="1">
      <c r="B909" s="27">
        <v>907</v>
      </c>
      <c r="C909" s="24">
        <f t="shared" ca="1" si="88"/>
        <v>8.2099079282813528E-2</v>
      </c>
      <c r="D909" s="24">
        <f t="shared" ca="1" si="89"/>
        <v>6.4609469870649444E-2</v>
      </c>
      <c r="E909" s="24">
        <f t="shared" ca="1" si="90"/>
        <v>7.5599849668199007E-2</v>
      </c>
      <c r="F909" s="25">
        <f ca="1">'Single Simulation'!$AP$4*Results!C909</f>
        <v>155667.74067659563</v>
      </c>
      <c r="G909" s="25">
        <f ca="1">'Single Simulation'!$AP$5*Results!D909</f>
        <v>61110.788730881621</v>
      </c>
      <c r="H909" s="25">
        <f t="shared" ca="1" si="86"/>
        <v>94556.951945714012</v>
      </c>
      <c r="I909" s="25">
        <f t="shared" ca="1" si="87"/>
        <v>7148.4913521790968</v>
      </c>
      <c r="J909" s="25">
        <f ca="1">'Single Simulation'!$AP$7*Results!E909</f>
        <v>1056283.6760356084</v>
      </c>
      <c r="K909" s="28" t="str">
        <f t="shared" ca="1" si="91"/>
        <v>No</v>
      </c>
    </row>
    <row r="910" spans="2:11" ht="11.25" hidden="1">
      <c r="B910" s="27">
        <v>908</v>
      </c>
      <c r="C910" s="29">
        <f t="shared" ca="1" si="88"/>
        <v>7.3637350278269523E-2</v>
      </c>
      <c r="D910" s="29">
        <f t="shared" ca="1" si="89"/>
        <v>6.5097535246504273E-2</v>
      </c>
      <c r="E910" s="29">
        <f t="shared" ca="1" si="90"/>
        <v>7.9430779591124948E-2</v>
      </c>
      <c r="F910" s="30">
        <f ca="1">'Single Simulation'!$AP$4*Results!C910</f>
        <v>139623.48965865848</v>
      </c>
      <c r="G910" s="30">
        <f ca="1">'Single Simulation'!$AP$5*Results!D910</f>
        <v>61572.424774799576</v>
      </c>
      <c r="H910" s="30">
        <f t="shared" ca="1" si="86"/>
        <v>78051.064883858897</v>
      </c>
      <c r="I910" s="30">
        <f t="shared" ca="1" si="87"/>
        <v>6199.6569316423884</v>
      </c>
      <c r="J910" s="25">
        <f ca="1">'Single Simulation'!$AP$7*Results!E910</f>
        <v>1109809.5594782734</v>
      </c>
      <c r="K910" s="28" t="str">
        <f t="shared" ca="1" si="91"/>
        <v>No</v>
      </c>
    </row>
    <row r="911" spans="2:11" ht="11.25" hidden="1">
      <c r="B911" s="27">
        <v>909</v>
      </c>
      <c r="C911" s="24">
        <f t="shared" ca="1" si="88"/>
        <v>5.8841355660919303E-2</v>
      </c>
      <c r="D911" s="24">
        <f t="shared" ca="1" si="89"/>
        <v>3.3906362981965338E-2</v>
      </c>
      <c r="E911" s="24">
        <f t="shared" ca="1" si="90"/>
        <v>6.9074443102482425E-3</v>
      </c>
      <c r="F911" s="25">
        <f ca="1">'Single Simulation'!$AP$4*Results!C911</f>
        <v>111568.86257554892</v>
      </c>
      <c r="G911" s="25">
        <f ca="1">'Single Simulation'!$AP$5*Results!D911</f>
        <v>32070.292311201116</v>
      </c>
      <c r="H911" s="25">
        <f t="shared" ca="1" si="86"/>
        <v>79498.5702643478</v>
      </c>
      <c r="I911" s="25">
        <f t="shared" ca="1" si="87"/>
        <v>549.13194684533937</v>
      </c>
      <c r="J911" s="25">
        <f ca="1">'Single Simulation'!$AP$7*Results!E911</f>
        <v>96511.047311108719</v>
      </c>
      <c r="K911" s="28" t="str">
        <f t="shared" ca="1" si="91"/>
        <v>No</v>
      </c>
    </row>
    <row r="912" spans="2:11" ht="11.25" hidden="1">
      <c r="B912" s="27">
        <v>910</v>
      </c>
      <c r="C912" s="29">
        <f t="shared" ca="1" si="88"/>
        <v>5.6779753095177292E-2</v>
      </c>
      <c r="D912" s="29">
        <f t="shared" ca="1" si="89"/>
        <v>5.5662557579096369E-2</v>
      </c>
      <c r="E912" s="29">
        <f t="shared" ca="1" si="90"/>
        <v>7.0637760647329073E-2</v>
      </c>
      <c r="F912" s="30">
        <f ca="1">'Single Simulation'!$AP$4*Results!C912</f>
        <v>107659.86607539799</v>
      </c>
      <c r="G912" s="30">
        <f ca="1">'Single Simulation'!$AP$5*Results!D912</f>
        <v>52648.362589056786</v>
      </c>
      <c r="H912" s="30">
        <f t="shared" ca="1" si="86"/>
        <v>55011.503486341207</v>
      </c>
      <c r="I912" s="30">
        <f t="shared" ca="1" si="87"/>
        <v>3885.8894161178791</v>
      </c>
      <c r="J912" s="25">
        <f ca="1">'Single Simulation'!$AP$7*Results!E912</f>
        <v>986953.19912613905</v>
      </c>
      <c r="K912" s="28" t="str">
        <f t="shared" ca="1" si="91"/>
        <v>No</v>
      </c>
    </row>
    <row r="913" spans="2:11" ht="11.25" hidden="1">
      <c r="B913" s="27">
        <v>911</v>
      </c>
      <c r="C913" s="24">
        <f t="shared" ca="1" si="88"/>
        <v>8.1878442202822851E-2</v>
      </c>
      <c r="D913" s="24">
        <f t="shared" ca="1" si="89"/>
        <v>4.8137994988614083E-2</v>
      </c>
      <c r="E913" s="24">
        <f t="shared" ca="1" si="90"/>
        <v>3.7390085696293179E-2</v>
      </c>
      <c r="F913" s="25">
        <f ca="1">'Single Simulation'!$AP$4*Results!C913</f>
        <v>155249.39157875354</v>
      </c>
      <c r="G913" s="25">
        <f ca="1">'Single Simulation'!$AP$5*Results!D913</f>
        <v>45531.264187230256</v>
      </c>
      <c r="H913" s="25">
        <f t="shared" ca="1" si="86"/>
        <v>109718.12739152327</v>
      </c>
      <c r="I913" s="25">
        <f t="shared" ca="1" si="87"/>
        <v>4102.3701856058669</v>
      </c>
      <c r="J913" s="25">
        <f ca="1">'Single Simulation'!$AP$7*Results!E913</f>
        <v>522415.55161690107</v>
      </c>
      <c r="K913" s="28" t="str">
        <f t="shared" ca="1" si="91"/>
        <v>No</v>
      </c>
    </row>
    <row r="914" spans="2:11" ht="11.25" hidden="1">
      <c r="B914" s="27">
        <v>912</v>
      </c>
      <c r="C914" s="29">
        <f t="shared" ca="1" si="88"/>
        <v>0.02</v>
      </c>
      <c r="D914" s="29">
        <f t="shared" ca="1" si="89"/>
        <v>7.5415518297449011E-2</v>
      </c>
      <c r="E914" s="29">
        <f t="shared" ca="1" si="90"/>
        <v>6.5433170628278123E-2</v>
      </c>
      <c r="F914" s="30">
        <f ca="1">'Single Simulation'!$AP$4*Results!C914</f>
        <v>37921.921180225181</v>
      </c>
      <c r="G914" s="30">
        <f ca="1">'Single Simulation'!$AP$5*Results!D914</f>
        <v>71331.676531817022</v>
      </c>
      <c r="H914" s="30">
        <f t="shared" ca="1" si="86"/>
        <v>-33409.755351591841</v>
      </c>
      <c r="I914" s="30">
        <f t="shared" ca="1" si="87"/>
        <v>-2186.1062225697369</v>
      </c>
      <c r="J914" s="25">
        <f ca="1">'Single Simulation'!$AP$7*Results!E914</f>
        <v>914234.49000555859</v>
      </c>
      <c r="K914" s="28" t="str">
        <f t="shared" ca="1" si="91"/>
        <v>No</v>
      </c>
    </row>
    <row r="915" spans="2:11" ht="11.25" hidden="1">
      <c r="B915" s="27">
        <v>913</v>
      </c>
      <c r="C915" s="24">
        <f t="shared" ca="1" si="88"/>
        <v>8.0574348208625829E-2</v>
      </c>
      <c r="D915" s="24">
        <f t="shared" ca="1" si="89"/>
        <v>6.3962042984688106E-2</v>
      </c>
      <c r="E915" s="24">
        <f t="shared" ca="1" si="90"/>
        <v>8.5361392691863436E-2</v>
      </c>
      <c r="F915" s="25">
        <f ca="1">'Single Simulation'!$AP$4*Results!C915</f>
        <v>152776.70409577631</v>
      </c>
      <c r="G915" s="25">
        <f ca="1">'Single Simulation'!$AP$5*Results!D915</f>
        <v>60498.420795873237</v>
      </c>
      <c r="H915" s="25">
        <f t="shared" ca="1" si="86"/>
        <v>92278.283299903065</v>
      </c>
      <c r="I915" s="25">
        <f t="shared" ca="1" si="87"/>
        <v>7877.0027776940497</v>
      </c>
      <c r="J915" s="25">
        <f ca="1">'Single Simulation'!$AP$7*Results!E915</f>
        <v>1192672.287839334</v>
      </c>
      <c r="K915" s="28" t="str">
        <f t="shared" ca="1" si="91"/>
        <v>No</v>
      </c>
    </row>
    <row r="916" spans="2:11" ht="11.25" hidden="1">
      <c r="B916" s="27">
        <v>914</v>
      </c>
      <c r="C916" s="29">
        <f t="shared" ca="1" si="88"/>
        <v>8.2395871109373825E-2</v>
      </c>
      <c r="D916" s="29">
        <f t="shared" ca="1" si="89"/>
        <v>5.7037962858083914E-2</v>
      </c>
      <c r="E916" s="29">
        <f t="shared" ca="1" si="90"/>
        <v>7.6672947017571311E-2</v>
      </c>
      <c r="F916" s="30">
        <f ca="1">'Single Simulation'!$AP$4*Results!C916</f>
        <v>156230.48648928336</v>
      </c>
      <c r="G916" s="30">
        <f ca="1">'Single Simulation'!$AP$5*Results!D916</f>
        <v>53949.288004353068</v>
      </c>
      <c r="H916" s="30">
        <f t="shared" ca="1" si="86"/>
        <v>102281.1984849303</v>
      </c>
      <c r="I916" s="30">
        <f t="shared" ca="1" si="87"/>
        <v>7842.2009123287553</v>
      </c>
      <c r="J916" s="25">
        <f ca="1">'Single Simulation'!$AP$7*Results!E916</f>
        <v>1071277.0287726026</v>
      </c>
      <c r="K916" s="28" t="str">
        <f t="shared" ca="1" si="91"/>
        <v>No</v>
      </c>
    </row>
    <row r="917" spans="2:11" ht="11.25" hidden="1">
      <c r="B917" s="27">
        <v>915</v>
      </c>
      <c r="C917" s="24">
        <f t="shared" ca="1" si="88"/>
        <v>3.4809028451735877E-2</v>
      </c>
      <c r="D917" s="24">
        <f t="shared" ca="1" si="89"/>
        <v>0.02</v>
      </c>
      <c r="E917" s="24">
        <f t="shared" ca="1" si="90"/>
        <v>0.14027561692731005</v>
      </c>
      <c r="F917" s="25">
        <f ca="1">'Single Simulation'!$AP$4*Results!C917</f>
        <v>66001.261665347178</v>
      </c>
      <c r="G917" s="25">
        <f ca="1">'Single Simulation'!$AP$5*Results!D917</f>
        <v>18916.975747743385</v>
      </c>
      <c r="H917" s="25">
        <f t="shared" ca="1" si="86"/>
        <v>47084.285917603789</v>
      </c>
      <c r="I917" s="25">
        <f t="shared" ca="1" si="87"/>
        <v>6604.7772546737287</v>
      </c>
      <c r="J917" s="25">
        <f ca="1">'Single Simulation'!$AP$7*Results!E917</f>
        <v>1959935.7003545705</v>
      </c>
      <c r="K917" s="28" t="str">
        <f t="shared" ca="1" si="91"/>
        <v>No</v>
      </c>
    </row>
    <row r="918" spans="2:11" ht="11.25" hidden="1">
      <c r="B918" s="27">
        <v>916</v>
      </c>
      <c r="C918" s="29">
        <f t="shared" ca="1" si="88"/>
        <v>7.9715993622039669E-2</v>
      </c>
      <c r="D918" s="29">
        <f t="shared" ca="1" si="89"/>
        <v>5.7162887005716645E-2</v>
      </c>
      <c r="E918" s="29">
        <f t="shared" ca="1" si="90"/>
        <v>7.7902413976674717E-2</v>
      </c>
      <c r="F918" s="30">
        <f ca="1">'Single Simulation'!$AP$4*Results!C918</f>
        <v>151149.18134691607</v>
      </c>
      <c r="G918" s="30">
        <f ca="1">'Single Simulation'!$AP$5*Results!D918</f>
        <v>54067.447357906858</v>
      </c>
      <c r="H918" s="30">
        <f t="shared" ca="1" si="86"/>
        <v>97081.733989009212</v>
      </c>
      <c r="I918" s="30">
        <f t="shared" ca="1" si="87"/>
        <v>7562.9014307852085</v>
      </c>
      <c r="J918" s="25">
        <f ca="1">'Single Simulation'!$AP$7*Results!E918</f>
        <v>1088455.1830258954</v>
      </c>
      <c r="K918" s="28" t="str">
        <f t="shared" ca="1" si="91"/>
        <v>No</v>
      </c>
    </row>
    <row r="919" spans="2:11" ht="11.25" hidden="1">
      <c r="B919" s="27">
        <v>917</v>
      </c>
      <c r="C919" s="24">
        <f t="shared" ca="1" si="88"/>
        <v>6.7285128409992984E-2</v>
      </c>
      <c r="D919" s="24">
        <f t="shared" ca="1" si="89"/>
        <v>4.5492983174376368E-2</v>
      </c>
      <c r="E919" s="24">
        <f t="shared" ca="1" si="90"/>
        <v>0.11461767242284146</v>
      </c>
      <c r="F919" s="25">
        <f ca="1">'Single Simulation'!$AP$4*Results!C919</f>
        <v>127579.06680825418</v>
      </c>
      <c r="G919" s="25">
        <f ca="1">'Single Simulation'!$AP$5*Results!D919</f>
        <v>43029.48297010878</v>
      </c>
      <c r="H919" s="25">
        <f t="shared" ca="1" si="86"/>
        <v>84549.583838145394</v>
      </c>
      <c r="I919" s="25">
        <f t="shared" ca="1" si="87"/>
        <v>9690.8765038481197</v>
      </c>
      <c r="J919" s="25">
        <f ca="1">'Single Simulation'!$AP$7*Results!E919</f>
        <v>1601442.0253056614</v>
      </c>
      <c r="K919" s="28" t="str">
        <f t="shared" ca="1" si="91"/>
        <v>No</v>
      </c>
    </row>
    <row r="920" spans="2:11" ht="11.25" hidden="1">
      <c r="B920" s="27">
        <v>918</v>
      </c>
      <c r="C920" s="29">
        <f t="shared" ca="1" si="88"/>
        <v>7.0110529420857479E-2</v>
      </c>
      <c r="D920" s="29">
        <f t="shared" ca="1" si="89"/>
        <v>4.6827278235212724E-2</v>
      </c>
      <c r="E920" s="29">
        <f t="shared" ca="1" si="90"/>
        <v>6.8557434770055548E-2</v>
      </c>
      <c r="F920" s="30">
        <f ca="1">'Single Simulation'!$AP$4*Results!C920</f>
        <v>132936.29853008079</v>
      </c>
      <c r="G920" s="30">
        <f ca="1">'Single Simulation'!$AP$5*Results!D920</f>
        <v>44291.524335417533</v>
      </c>
      <c r="H920" s="30">
        <f t="shared" ca="1" si="86"/>
        <v>88644.77419466326</v>
      </c>
      <c r="I920" s="30">
        <f t="shared" ca="1" si="87"/>
        <v>6077.2583245569294</v>
      </c>
      <c r="J920" s="25">
        <f ca="1">'Single Simulation'!$AP$7*Results!E920</f>
        <v>957886.81507057894</v>
      </c>
      <c r="K920" s="28" t="str">
        <f t="shared" ca="1" si="91"/>
        <v>No</v>
      </c>
    </row>
    <row r="921" spans="2:11" ht="11.25" hidden="1">
      <c r="B921" s="27">
        <v>919</v>
      </c>
      <c r="C921" s="24">
        <f t="shared" ca="1" si="88"/>
        <v>7.5280628707461522E-2</v>
      </c>
      <c r="D921" s="24">
        <f t="shared" ca="1" si="89"/>
        <v>7.824273490134119E-2</v>
      </c>
      <c r="E921" s="24">
        <f t="shared" ca="1" si="90"/>
        <v>6.3572873431692031E-2</v>
      </c>
      <c r="F921" s="25">
        <f ca="1">'Single Simulation'!$AP$4*Results!C921</f>
        <v>142739.30341210763</v>
      </c>
      <c r="G921" s="25">
        <f ca="1">'Single Simulation'!$AP$5*Results!D921</f>
        <v>74005.795928289313</v>
      </c>
      <c r="H921" s="25">
        <f t="shared" ca="1" si="86"/>
        <v>68733.507483818321</v>
      </c>
      <c r="I921" s="25">
        <f t="shared" ca="1" si="87"/>
        <v>4369.5865717850393</v>
      </c>
      <c r="J921" s="25">
        <f ca="1">'Single Simulation'!$AP$7*Results!E921</f>
        <v>888242.35417522409</v>
      </c>
      <c r="K921" s="28" t="str">
        <f t="shared" ca="1" si="91"/>
        <v>No</v>
      </c>
    </row>
    <row r="922" spans="2:11" ht="11.25" hidden="1">
      <c r="B922" s="27">
        <v>920</v>
      </c>
      <c r="C922" s="29">
        <f t="shared" ca="1" si="88"/>
        <v>0.02</v>
      </c>
      <c r="D922" s="29">
        <f t="shared" ca="1" si="89"/>
        <v>5.3545419676072056E-2</v>
      </c>
      <c r="E922" s="29">
        <f t="shared" ca="1" si="90"/>
        <v>5.7736798165930595E-2</v>
      </c>
      <c r="F922" s="30">
        <f ca="1">'Single Simulation'!$AP$4*Results!C922</f>
        <v>37921.921180225181</v>
      </c>
      <c r="G922" s="30">
        <f ca="1">'Single Simulation'!$AP$5*Results!D922</f>
        <v>50645.870270749823</v>
      </c>
      <c r="H922" s="30">
        <f t="shared" ca="1" si="86"/>
        <v>-12723.949090524642</v>
      </c>
      <c r="I922" s="30">
        <f t="shared" ca="1" si="87"/>
        <v>-734.6400805131974</v>
      </c>
      <c r="J922" s="25">
        <f ca="1">'Single Simulation'!$AP$7*Results!E922</f>
        <v>806700.5116663482</v>
      </c>
      <c r="K922" s="28" t="str">
        <f t="shared" ca="1" si="91"/>
        <v>No</v>
      </c>
    </row>
    <row r="923" spans="2:11" ht="11.25" hidden="1">
      <c r="B923" s="27">
        <v>921</v>
      </c>
      <c r="C923" s="24">
        <f t="shared" ca="1" si="88"/>
        <v>5.626647390077439E-2</v>
      </c>
      <c r="D923" s="24">
        <f t="shared" ca="1" si="89"/>
        <v>5.0650550457516645E-2</v>
      </c>
      <c r="E923" s="24">
        <f t="shared" ca="1" si="90"/>
        <v>0.11552130619196155</v>
      </c>
      <c r="F923" s="25">
        <f ca="1">'Single Simulation'!$AP$4*Results!C923</f>
        <v>106686.63941771818</v>
      </c>
      <c r="G923" s="25">
        <f ca="1">'Single Simulation'!$AP$5*Results!D923</f>
        <v>47907.761730734746</v>
      </c>
      <c r="H923" s="25">
        <f t="shared" ca="1" si="86"/>
        <v>58778.877686983433</v>
      </c>
      <c r="I923" s="25">
        <f t="shared" ca="1" si="87"/>
        <v>6790.2127268978693</v>
      </c>
      <c r="J923" s="25">
        <f ca="1">'Single Simulation'!$AP$7*Results!E923</f>
        <v>1614067.6271239887</v>
      </c>
      <c r="K923" s="28" t="str">
        <f t="shared" ca="1" si="91"/>
        <v>No</v>
      </c>
    </row>
    <row r="924" spans="2:11" ht="11.25" hidden="1">
      <c r="B924" s="27">
        <v>922</v>
      </c>
      <c r="C924" s="29">
        <f t="shared" ca="1" si="88"/>
        <v>0.10820445175124291</v>
      </c>
      <c r="D924" s="29">
        <f t="shared" ca="1" si="89"/>
        <v>5.2938396526224861E-2</v>
      </c>
      <c r="E924" s="29">
        <f t="shared" ca="1" si="90"/>
        <v>7.1796219290225657E-2</v>
      </c>
      <c r="F924" s="30">
        <f ca="1">'Single Simulation'!$AP$4*Results!C924</f>
        <v>205166.03453300559</v>
      </c>
      <c r="G924" s="30">
        <f ca="1">'Single Simulation'!$AP$5*Results!D924</f>
        <v>50071.718160550918</v>
      </c>
      <c r="H924" s="30">
        <f t="shared" ca="1" si="86"/>
        <v>155094.31637245466</v>
      </c>
      <c r="I924" s="30">
        <f t="shared" ca="1" si="87"/>
        <v>11135.18554894439</v>
      </c>
      <c r="J924" s="25">
        <f ca="1">'Single Simulation'!$AP$7*Results!E924</f>
        <v>1003139.2227653997</v>
      </c>
      <c r="K924" s="28" t="str">
        <f t="shared" ca="1" si="91"/>
        <v>No</v>
      </c>
    </row>
    <row r="925" spans="2:11" ht="11.25" hidden="1">
      <c r="B925" s="27">
        <v>923</v>
      </c>
      <c r="C925" s="24">
        <f t="shared" ca="1" si="88"/>
        <v>9.1500732496735682E-2</v>
      </c>
      <c r="D925" s="24">
        <f t="shared" ca="1" si="89"/>
        <v>5.133191269347475E-2</v>
      </c>
      <c r="E925" s="24">
        <f t="shared" ca="1" si="90"/>
        <v>2.2445744603807938E-2</v>
      </c>
      <c r="F925" s="25">
        <f ca="1">'Single Simulation'!$AP$4*Results!C925</f>
        <v>173494.17828370395</v>
      </c>
      <c r="G925" s="25">
        <f ca="1">'Single Simulation'!$AP$5*Results!D925</f>
        <v>48552.227375387134</v>
      </c>
      <c r="H925" s="25">
        <f t="shared" ca="1" si="86"/>
        <v>124941.95090831682</v>
      </c>
      <c r="I925" s="25">
        <f t="shared" ca="1" si="87"/>
        <v>2804.4151203895885</v>
      </c>
      <c r="J925" s="25">
        <f ca="1">'Single Simulation'!$AP$7*Results!E925</f>
        <v>313612.70856388839</v>
      </c>
      <c r="K925" s="28" t="str">
        <f t="shared" ca="1" si="91"/>
        <v>No</v>
      </c>
    </row>
    <row r="926" spans="2:11" ht="11.25" hidden="1">
      <c r="B926" s="27">
        <v>924</v>
      </c>
      <c r="C926" s="29">
        <f t="shared" ca="1" si="88"/>
        <v>3.4475917860685087E-2</v>
      </c>
      <c r="D926" s="29">
        <f t="shared" ca="1" si="89"/>
        <v>5.1325337772522593E-2</v>
      </c>
      <c r="E926" s="29">
        <f t="shared" ca="1" si="90"/>
        <v>-3.2522700882543915E-3</v>
      </c>
      <c r="F926" s="30">
        <f ca="1">'Single Simulation'!$AP$4*Results!C926</f>
        <v>65369.651986440869</v>
      </c>
      <c r="G926" s="30">
        <f ca="1">'Single Simulation'!$AP$5*Results!D926</f>
        <v>48546.008494377369</v>
      </c>
      <c r="H926" s="30">
        <f t="shared" ca="1" si="86"/>
        <v>16823.6434920635</v>
      </c>
      <c r="I926" s="30">
        <f t="shared" ca="1" si="87"/>
        <v>-54.715032504693781</v>
      </c>
      <c r="J926" s="25">
        <f ca="1">'Single Simulation'!$AP$7*Results!E926</f>
        <v>-45440.828511687694</v>
      </c>
      <c r="K926" s="28" t="str">
        <f t="shared" ca="1" si="91"/>
        <v>No</v>
      </c>
    </row>
    <row r="927" spans="2:11" ht="11.25" hidden="1">
      <c r="B927" s="27">
        <v>925</v>
      </c>
      <c r="C927" s="24">
        <f t="shared" ca="1" si="88"/>
        <v>3.4057561914092399E-2</v>
      </c>
      <c r="D927" s="24">
        <f t="shared" ca="1" si="89"/>
        <v>4.8337963099409367E-2</v>
      </c>
      <c r="E927" s="24">
        <f t="shared" ca="1" si="90"/>
        <v>0.12333361371423907</v>
      </c>
      <c r="F927" s="25">
        <f ca="1">'Single Simulation'!$AP$4*Results!C927</f>
        <v>64576.408924842544</v>
      </c>
      <c r="G927" s="25">
        <f ca="1">'Single Simulation'!$AP$5*Results!D927</f>
        <v>45720.40378234208</v>
      </c>
      <c r="H927" s="25">
        <f t="shared" ca="1" si="86"/>
        <v>18856.005142500464</v>
      </c>
      <c r="I927" s="25">
        <f t="shared" ca="1" si="87"/>
        <v>2325.5792544388578</v>
      </c>
      <c r="J927" s="25">
        <f ca="1">'Single Simulation'!$AP$7*Results!E927</f>
        <v>1723221.4540716517</v>
      </c>
      <c r="K927" s="28" t="str">
        <f t="shared" ca="1" si="91"/>
        <v>No</v>
      </c>
    </row>
    <row r="928" spans="2:11" ht="11.25" hidden="1">
      <c r="B928" s="27">
        <v>926</v>
      </c>
      <c r="C928" s="29">
        <f t="shared" ca="1" si="88"/>
        <v>5.8061870284712339E-2</v>
      </c>
      <c r="D928" s="29">
        <f t="shared" ca="1" si="89"/>
        <v>6.2657088818267925E-2</v>
      </c>
      <c r="E928" s="29">
        <f t="shared" ca="1" si="90"/>
        <v>9.7791217601867861E-2</v>
      </c>
      <c r="F928" s="30">
        <f ca="1">'Single Simulation'!$AP$4*Results!C928</f>
        <v>110090.88342566599</v>
      </c>
      <c r="G928" s="30">
        <f ca="1">'Single Simulation'!$AP$5*Results!D928</f>
        <v>59264.131479968877</v>
      </c>
      <c r="H928" s="30">
        <f t="shared" ca="1" si="86"/>
        <v>50826.751945697113</v>
      </c>
      <c r="I928" s="30">
        <f t="shared" ca="1" si="87"/>
        <v>4970.4099595178268</v>
      </c>
      <c r="J928" s="25">
        <f ca="1">'Single Simulation'!$AP$7*Results!E928</f>
        <v>1366342.2250950602</v>
      </c>
      <c r="K928" s="28" t="str">
        <f t="shared" ca="1" si="91"/>
        <v>No</v>
      </c>
    </row>
    <row r="929" spans="2:11" ht="11.25" hidden="1">
      <c r="B929" s="27">
        <v>927</v>
      </c>
      <c r="C929" s="24">
        <f t="shared" ca="1" si="88"/>
        <v>4.5675909188964241E-2</v>
      </c>
      <c r="D929" s="24">
        <f t="shared" ca="1" si="89"/>
        <v>5.9041563671390226E-2</v>
      </c>
      <c r="E929" s="24">
        <f t="shared" ca="1" si="90"/>
        <v>7.5440889723354831E-2</v>
      </c>
      <c r="F929" s="25">
        <f ca="1">'Single Simulation'!$AP$4*Results!C929</f>
        <v>86605.911404951243</v>
      </c>
      <c r="G929" s="25">
        <f ca="1">'Single Simulation'!$AP$5*Results!D929</f>
        <v>55844.391404026785</v>
      </c>
      <c r="H929" s="25">
        <f t="shared" ca="1" si="86"/>
        <v>30761.520000924458</v>
      </c>
      <c r="I929" s="25">
        <f t="shared" ca="1" si="87"/>
        <v>2320.6764381125163</v>
      </c>
      <c r="J929" s="25">
        <f ca="1">'Single Simulation'!$AP$7*Results!E929</f>
        <v>1054062.6822688305</v>
      </c>
      <c r="K929" s="28" t="str">
        <f t="shared" ca="1" si="91"/>
        <v>No</v>
      </c>
    </row>
    <row r="930" spans="2:11" ht="11.25" hidden="1">
      <c r="B930" s="27">
        <v>928</v>
      </c>
      <c r="C930" s="29">
        <f t="shared" ca="1" si="88"/>
        <v>6.2907698844502827E-2</v>
      </c>
      <c r="D930" s="29">
        <f t="shared" ca="1" si="89"/>
        <v>6.3867666763493633E-2</v>
      </c>
      <c r="E930" s="29">
        <f t="shared" ca="1" si="90"/>
        <v>6.3054088775181719E-2</v>
      </c>
      <c r="F930" s="30">
        <f ca="1">'Single Simulation'!$AP$4*Results!C930</f>
        <v>119279.03986052894</v>
      </c>
      <c r="G930" s="30">
        <f ca="1">'Single Simulation'!$AP$5*Results!D930</f>
        <v>60409.15516149826</v>
      </c>
      <c r="H930" s="30">
        <f t="shared" ca="1" si="86"/>
        <v>58869.884699030677</v>
      </c>
      <c r="I930" s="30">
        <f t="shared" ca="1" si="87"/>
        <v>3711.9869359973923</v>
      </c>
      <c r="J930" s="25">
        <f ca="1">'Single Simulation'!$AP$7*Results!E930</f>
        <v>880993.87727408425</v>
      </c>
      <c r="K930" s="28" t="str">
        <f t="shared" ca="1" si="91"/>
        <v>No</v>
      </c>
    </row>
    <row r="931" spans="2:11" ht="11.25" hidden="1">
      <c r="B931" s="27">
        <v>929</v>
      </c>
      <c r="C931" s="24">
        <f t="shared" ca="1" si="88"/>
        <v>6.246063599822136E-2</v>
      </c>
      <c r="D931" s="24">
        <f t="shared" ca="1" si="89"/>
        <v>3.2808089229015194E-2</v>
      </c>
      <c r="E931" s="24">
        <f t="shared" ca="1" si="90"/>
        <v>0.11603599310183821</v>
      </c>
      <c r="F931" s="25">
        <f ca="1">'Single Simulation'!$AP$4*Results!C931</f>
        <v>118431.36575956429</v>
      </c>
      <c r="G931" s="25">
        <f ca="1">'Single Simulation'!$AP$5*Results!D931</f>
        <v>31031.491413754069</v>
      </c>
      <c r="H931" s="25">
        <f t="shared" ca="1" si="86"/>
        <v>87399.874345810211</v>
      </c>
      <c r="I931" s="25">
        <f t="shared" ca="1" si="87"/>
        <v>10141.531216691959</v>
      </c>
      <c r="J931" s="25">
        <f ca="1">'Single Simulation'!$AP$7*Results!E931</f>
        <v>1621258.8501695103</v>
      </c>
      <c r="K931" s="28" t="str">
        <f t="shared" ca="1" si="91"/>
        <v>No</v>
      </c>
    </row>
    <row r="932" spans="2:11" ht="11.25" hidden="1">
      <c r="B932" s="27">
        <v>930</v>
      </c>
      <c r="C932" s="29">
        <f t="shared" ca="1" si="88"/>
        <v>4.9613164915932033E-2</v>
      </c>
      <c r="D932" s="29">
        <f t="shared" ca="1" si="89"/>
        <v>3.4032554832634808E-2</v>
      </c>
      <c r="E932" s="29">
        <f t="shared" ca="1" si="90"/>
        <v>7.5919072806264018E-2</v>
      </c>
      <c r="F932" s="30">
        <f ca="1">'Single Simulation'!$AP$4*Results!C932</f>
        <v>94071.326472174376</v>
      </c>
      <c r="G932" s="30">
        <f ca="1">'Single Simulation'!$AP$5*Results!D932</f>
        <v>32189.650720134978</v>
      </c>
      <c r="H932" s="30">
        <f t="shared" ca="1" si="86"/>
        <v>61881.675752039402</v>
      </c>
      <c r="I932" s="30">
        <f t="shared" ca="1" si="87"/>
        <v>4697.9994467927017</v>
      </c>
      <c r="J932" s="25">
        <f ca="1">'Single Simulation'!$AP$7*Results!E932</f>
        <v>1060743.8725998981</v>
      </c>
      <c r="K932" s="28" t="str">
        <f t="shared" ca="1" si="91"/>
        <v>No</v>
      </c>
    </row>
    <row r="933" spans="2:11" ht="11.25" hidden="1">
      <c r="B933" s="27">
        <v>931</v>
      </c>
      <c r="C933" s="24">
        <f t="shared" ca="1" si="88"/>
        <v>5.8888648508198187E-2</v>
      </c>
      <c r="D933" s="24">
        <f t="shared" ca="1" si="89"/>
        <v>4.882482293604283E-2</v>
      </c>
      <c r="E933" s="24">
        <f t="shared" ca="1" si="90"/>
        <v>9.0191757677650336E-2</v>
      </c>
      <c r="F933" s="25">
        <f ca="1">'Single Simulation'!$AP$4*Results!C933</f>
        <v>111658.53435689383</v>
      </c>
      <c r="G933" s="25">
        <f ca="1">'Single Simulation'!$AP$5*Results!D933</f>
        <v>46180.899568449357</v>
      </c>
      <c r="H933" s="25">
        <f t="shared" ca="1" si="86"/>
        <v>65477.634788444469</v>
      </c>
      <c r="I933" s="25">
        <f t="shared" ca="1" si="87"/>
        <v>5905.5429701450712</v>
      </c>
      <c r="J933" s="25">
        <f ca="1">'Single Simulation'!$AP$7*Results!E933</f>
        <v>1260162.3120414182</v>
      </c>
      <c r="K933" s="28" t="str">
        <f t="shared" ca="1" si="91"/>
        <v>No</v>
      </c>
    </row>
    <row r="934" spans="2:11" ht="11.25" hidden="1">
      <c r="B934" s="27">
        <v>932</v>
      </c>
      <c r="C934" s="29">
        <f t="shared" ca="1" si="88"/>
        <v>7.2726906443253553E-2</v>
      </c>
      <c r="D934" s="29">
        <f t="shared" ca="1" si="89"/>
        <v>6.0073637527240112E-2</v>
      </c>
      <c r="E934" s="29">
        <f t="shared" ca="1" si="90"/>
        <v>1.8400385888337562E-2</v>
      </c>
      <c r="F934" s="30">
        <f ca="1">'Single Simulation'!$AP$4*Results!C934</f>
        <v>137897.20069113359</v>
      </c>
      <c r="G934" s="30">
        <f ca="1">'Single Simulation'!$AP$5*Results!D934</f>
        <v>56820.5772090764</v>
      </c>
      <c r="H934" s="30">
        <f t="shared" ca="1" si="86"/>
        <v>81076.623482057184</v>
      </c>
      <c r="I934" s="30">
        <f t="shared" ca="1" si="87"/>
        <v>1491.8411585933027</v>
      </c>
      <c r="J934" s="25">
        <f ca="1">'Single Simulation'!$AP$7*Results!E934</f>
        <v>257090.81872397792</v>
      </c>
      <c r="K934" s="28" t="str">
        <f t="shared" ca="1" si="91"/>
        <v>No</v>
      </c>
    </row>
    <row r="935" spans="2:11" ht="11.25" hidden="1">
      <c r="B935" s="27">
        <v>933</v>
      </c>
      <c r="C935" s="24">
        <f t="shared" ca="1" si="88"/>
        <v>3.6633378084562185E-2</v>
      </c>
      <c r="D935" s="24">
        <f t="shared" ca="1" si="89"/>
        <v>4.7807760377502923E-2</v>
      </c>
      <c r="E935" s="24">
        <f t="shared" ca="1" si="90"/>
        <v>4.0285805341967088E-2</v>
      </c>
      <c r="F935" s="25">
        <f ca="1">'Single Simulation'!$AP$4*Results!C935</f>
        <v>69460.403814407779</v>
      </c>
      <c r="G935" s="25">
        <f ca="1">'Single Simulation'!$AP$5*Results!D935</f>
        <v>45218.912180757492</v>
      </c>
      <c r="H935" s="25">
        <f t="shared" ca="1" si="86"/>
        <v>24241.491633650287</v>
      </c>
      <c r="I935" s="25">
        <f t="shared" ca="1" si="87"/>
        <v>976.58801315215919</v>
      </c>
      <c r="J935" s="25">
        <f ca="1">'Single Simulation'!$AP$7*Results!E935</f>
        <v>562874.64519348007</v>
      </c>
      <c r="K935" s="28" t="str">
        <f t="shared" ca="1" si="91"/>
        <v>No</v>
      </c>
    </row>
    <row r="936" spans="2:11" ht="11.25" hidden="1">
      <c r="B936" s="27">
        <v>934</v>
      </c>
      <c r="C936" s="29">
        <f t="shared" ca="1" si="88"/>
        <v>5.4149343800575324E-2</v>
      </c>
      <c r="D936" s="29">
        <f t="shared" ca="1" si="89"/>
        <v>3.2952892113960547E-2</v>
      </c>
      <c r="E936" s="29">
        <f t="shared" ca="1" si="90"/>
        <v>0.14703917272265998</v>
      </c>
      <c r="F936" s="30">
        <f ca="1">'Single Simulation'!$AP$4*Results!C936</f>
        <v>102672.35737831662</v>
      </c>
      <c r="G936" s="30">
        <f ca="1">'Single Simulation'!$AP$5*Results!D936</f>
        <v>31168.453046889794</v>
      </c>
      <c r="H936" s="30">
        <f t="shared" ca="1" si="86"/>
        <v>71503.904331426835</v>
      </c>
      <c r="I936" s="30">
        <f t="shared" ca="1" si="87"/>
        <v>10513.874939333225</v>
      </c>
      <c r="J936" s="25">
        <f ca="1">'Single Simulation'!$AP$7*Results!E936</f>
        <v>2054436.332431745</v>
      </c>
      <c r="K936" s="28" t="str">
        <f t="shared" ca="1" si="91"/>
        <v>No</v>
      </c>
    </row>
    <row r="937" spans="2:11" ht="11.25" hidden="1">
      <c r="B937" s="27">
        <v>935</v>
      </c>
      <c r="C937" s="24">
        <f t="shared" ca="1" si="88"/>
        <v>2.7652284158155196E-2</v>
      </c>
      <c r="D937" s="24">
        <f t="shared" ca="1" si="89"/>
        <v>4.609203066103712E-2</v>
      </c>
      <c r="E937" s="24">
        <f t="shared" ca="1" si="90"/>
        <v>4.4507856349878458E-2</v>
      </c>
      <c r="F937" s="25">
        <f ca="1">'Single Simulation'!$AP$4*Results!C937</f>
        <v>52431.387014937536</v>
      </c>
      <c r="G937" s="25">
        <f ca="1">'Single Simulation'!$AP$5*Results!D937</f>
        <v>43596.091308954179</v>
      </c>
      <c r="H937" s="25">
        <f t="shared" ca="1" si="86"/>
        <v>8835.295705983357</v>
      </c>
      <c r="I937" s="25">
        <f t="shared" ca="1" si="87"/>
        <v>393.24007209060522</v>
      </c>
      <c r="J937" s="25">
        <f ca="1">'Single Simulation'!$AP$7*Results!E937</f>
        <v>621865.28576511634</v>
      </c>
      <c r="K937" s="28" t="str">
        <f t="shared" ca="1" si="91"/>
        <v>No</v>
      </c>
    </row>
    <row r="938" spans="2:11" ht="11.25" hidden="1">
      <c r="B938" s="27">
        <v>936</v>
      </c>
      <c r="C938" s="29">
        <f t="shared" ca="1" si="88"/>
        <v>4.0601015607062592E-2</v>
      </c>
      <c r="D938" s="29">
        <f t="shared" ca="1" si="89"/>
        <v>2.6612743215219292E-2</v>
      </c>
      <c r="E938" s="29">
        <f t="shared" ca="1" si="90"/>
        <v>2.9227068315606015E-2</v>
      </c>
      <c r="F938" s="30">
        <f ca="1">'Single Simulation'!$AP$4*Results!C938</f>
        <v>76983.425684406</v>
      </c>
      <c r="G938" s="30">
        <f ca="1">'Single Simulation'!$AP$5*Results!D938</f>
        <v>25171.630899161282</v>
      </c>
      <c r="H938" s="30">
        <f t="shared" ca="1" si="86"/>
        <v>51811.794785244718</v>
      </c>
      <c r="I938" s="30">
        <f t="shared" ca="1" si="87"/>
        <v>1514.3068657425069</v>
      </c>
      <c r="J938" s="25">
        <f ca="1">'Single Simulation'!$AP$7*Results!E938</f>
        <v>408361.59457521362</v>
      </c>
      <c r="K938" s="28" t="str">
        <f t="shared" ca="1" si="91"/>
        <v>No</v>
      </c>
    </row>
    <row r="939" spans="2:11" ht="11.25" hidden="1">
      <c r="B939" s="27">
        <v>937</v>
      </c>
      <c r="C939" s="24">
        <f t="shared" ca="1" si="88"/>
        <v>4.6085567189745658E-2</v>
      </c>
      <c r="D939" s="24">
        <f t="shared" ca="1" si="89"/>
        <v>5.7962103517251583E-2</v>
      </c>
      <c r="E939" s="24">
        <f t="shared" ca="1" si="90"/>
        <v>9.2028369345907801E-2</v>
      </c>
      <c r="F939" s="25">
        <f ca="1">'Single Simulation'!$AP$4*Results!C939</f>
        <v>87382.662325775324</v>
      </c>
      <c r="G939" s="25">
        <f ca="1">'Single Simulation'!$AP$5*Results!D939</f>
        <v>54823.385326201984</v>
      </c>
      <c r="H939" s="25">
        <f t="shared" ca="1" si="86"/>
        <v>32559.27699957334</v>
      </c>
      <c r="I939" s="25">
        <f t="shared" ca="1" si="87"/>
        <v>2996.3771693524559</v>
      </c>
      <c r="J939" s="25">
        <f ca="1">'Single Simulation'!$AP$7*Results!E939</f>
        <v>1285823.5128627333</v>
      </c>
      <c r="K939" s="28" t="str">
        <f t="shared" ca="1" si="91"/>
        <v>No</v>
      </c>
    </row>
    <row r="940" spans="2:11" ht="11.25" hidden="1">
      <c r="B940" s="27">
        <v>938</v>
      </c>
      <c r="C940" s="29">
        <f t="shared" ca="1" si="88"/>
        <v>4.797883353220378E-2</v>
      </c>
      <c r="D940" s="29">
        <f t="shared" ca="1" si="89"/>
        <v>6.6022577958056633E-2</v>
      </c>
      <c r="E940" s="29">
        <f t="shared" ca="1" si="90"/>
        <v>8.0719308919931718E-2</v>
      </c>
      <c r="F940" s="30">
        <f ca="1">'Single Simulation'!$AP$4*Results!C940</f>
        <v>90972.477176368819</v>
      </c>
      <c r="G940" s="30">
        <f ca="1">'Single Simulation'!$AP$5*Results!D940</f>
        <v>62447.375301802713</v>
      </c>
      <c r="H940" s="30">
        <f t="shared" ca="1" si="86"/>
        <v>28525.101874566106</v>
      </c>
      <c r="I940" s="30">
        <f t="shared" ca="1" si="87"/>
        <v>2302.5265101856248</v>
      </c>
      <c r="J940" s="25">
        <f ca="1">'Single Simulation'!$AP$7*Results!E940</f>
        <v>1127812.9351739297</v>
      </c>
      <c r="K940" s="28" t="str">
        <f t="shared" ca="1" si="91"/>
        <v>No</v>
      </c>
    </row>
    <row r="941" spans="2:11" ht="11.25" hidden="1">
      <c r="B941" s="27">
        <v>939</v>
      </c>
      <c r="C941" s="24">
        <f t="shared" ca="1" si="88"/>
        <v>8.1048990523389514E-2</v>
      </c>
      <c r="D941" s="24">
        <f t="shared" ca="1" si="89"/>
        <v>4.2839568390030142E-2</v>
      </c>
      <c r="E941" s="24">
        <f t="shared" ca="1" si="90"/>
        <v>0.10089716098372087</v>
      </c>
      <c r="F941" s="25">
        <f ca="1">'Single Simulation'!$AP$4*Results!C941</f>
        <v>153676.67151823972</v>
      </c>
      <c r="G941" s="25">
        <f ca="1">'Single Simulation'!$AP$5*Results!D941</f>
        <v>40519.753813899712</v>
      </c>
      <c r="H941" s="25">
        <f t="shared" ca="1" si="86"/>
        <v>113156.91770434001</v>
      </c>
      <c r="I941" s="25">
        <f t="shared" ca="1" si="87"/>
        <v>11417.211742036448</v>
      </c>
      <c r="J941" s="25">
        <f ca="1">'Single Simulation'!$AP$7*Results!E941</f>
        <v>1409738.5718780381</v>
      </c>
      <c r="K941" s="28" t="str">
        <f t="shared" ca="1" si="91"/>
        <v>No</v>
      </c>
    </row>
    <row r="942" spans="2:11" ht="11.25" hidden="1">
      <c r="B942" s="27">
        <v>940</v>
      </c>
      <c r="C942" s="29">
        <f t="shared" ca="1" si="88"/>
        <v>6.5423830250364537E-2</v>
      </c>
      <c r="D942" s="29">
        <f t="shared" ca="1" si="89"/>
        <v>5.9066230692483346E-2</v>
      </c>
      <c r="E942" s="29">
        <f t="shared" ca="1" si="90"/>
        <v>0.10906240585899871</v>
      </c>
      <c r="F942" s="30">
        <f ca="1">'Single Simulation'!$AP$4*Results!C942</f>
        <v>124049.86670313778</v>
      </c>
      <c r="G942" s="30">
        <f ca="1">'Single Simulation'!$AP$5*Results!D942</f>
        <v>55867.722676016165</v>
      </c>
      <c r="H942" s="30">
        <f t="shared" ca="1" si="86"/>
        <v>68182.144027121627</v>
      </c>
      <c r="I942" s="30">
        <f t="shared" ca="1" si="87"/>
        <v>7436.1086642226437</v>
      </c>
      <c r="J942" s="25">
        <f ca="1">'Single Simulation'!$AP$7*Results!E942</f>
        <v>1523823.6515500604</v>
      </c>
      <c r="K942" s="28" t="str">
        <f t="shared" ca="1" si="91"/>
        <v>No</v>
      </c>
    </row>
    <row r="943" spans="2:11" ht="11.25" hidden="1">
      <c r="B943" s="27">
        <v>941</v>
      </c>
      <c r="C943" s="24">
        <f t="shared" ca="1" si="88"/>
        <v>5.209440490658402E-2</v>
      </c>
      <c r="D943" s="24">
        <f t="shared" ca="1" si="89"/>
        <v>6.4507494852518193E-2</v>
      </c>
      <c r="E943" s="24">
        <f t="shared" ca="1" si="90"/>
        <v>9.3690442197723114E-2</v>
      </c>
      <c r="F943" s="25">
        <f ca="1">'Single Simulation'!$AP$4*Results!C943</f>
        <v>98775.995839910742</v>
      </c>
      <c r="G943" s="25">
        <f ca="1">'Single Simulation'!$AP$5*Results!D943</f>
        <v>61014.335783638395</v>
      </c>
      <c r="H943" s="25">
        <f t="shared" ca="1" si="86"/>
        <v>37761.660056272347</v>
      </c>
      <c r="I943" s="25">
        <f t="shared" ca="1" si="87"/>
        <v>3537.9066287922542</v>
      </c>
      <c r="J943" s="25">
        <f ca="1">'Single Simulation'!$AP$7*Results!E943</f>
        <v>1309046.0513923697</v>
      </c>
      <c r="K943" s="28" t="str">
        <f t="shared" ca="1" si="91"/>
        <v>No</v>
      </c>
    </row>
    <row r="944" spans="2:11" ht="11.25" hidden="1">
      <c r="B944" s="27">
        <v>942</v>
      </c>
      <c r="C944" s="29">
        <f t="shared" ca="1" si="88"/>
        <v>9.7906025693718007E-2</v>
      </c>
      <c r="D944" s="29">
        <f t="shared" ca="1" si="89"/>
        <v>5.7997853892066596E-2</v>
      </c>
      <c r="E944" s="29">
        <f t="shared" ca="1" si="90"/>
        <v>0.13827681524788532</v>
      </c>
      <c r="F944" s="30">
        <f ca="1">'Single Simulation'!$AP$4*Results!C944</f>
        <v>185639.22947131377</v>
      </c>
      <c r="G944" s="30">
        <f ca="1">'Single Simulation'!$AP$5*Results!D944</f>
        <v>54857.199774869405</v>
      </c>
      <c r="H944" s="30">
        <f t="shared" ca="1" si="86"/>
        <v>130782.02969644437</v>
      </c>
      <c r="I944" s="30">
        <f t="shared" ca="1" si="87"/>
        <v>18084.122558078689</v>
      </c>
      <c r="J944" s="25">
        <f ca="1">'Single Simulation'!$AP$7*Results!E944</f>
        <v>1932008.3751697293</v>
      </c>
      <c r="K944" s="28" t="str">
        <f t="shared" ca="1" si="91"/>
        <v>No</v>
      </c>
    </row>
    <row r="945" spans="2:11" ht="11.25" hidden="1">
      <c r="B945" s="27">
        <v>943</v>
      </c>
      <c r="C945" s="24">
        <f t="shared" ca="1" si="88"/>
        <v>6.6096832989130203E-2</v>
      </c>
      <c r="D945" s="24">
        <f t="shared" ca="1" si="89"/>
        <v>0.02</v>
      </c>
      <c r="E945" s="24">
        <f t="shared" ca="1" si="90"/>
        <v>9.7669599049679617E-2</v>
      </c>
      <c r="F945" s="25">
        <f ca="1">'Single Simulation'!$AP$4*Results!C945</f>
        <v>125325.94454381515</v>
      </c>
      <c r="G945" s="25">
        <f ca="1">'Single Simulation'!$AP$5*Results!D945</f>
        <v>18916.975747743385</v>
      </c>
      <c r="H945" s="25">
        <f t="shared" ca="1" si="86"/>
        <v>106408.96879607176</v>
      </c>
      <c r="I945" s="25">
        <f t="shared" ca="1" si="87"/>
        <v>10392.921317602199</v>
      </c>
      <c r="J945" s="25">
        <f ca="1">'Single Simulation'!$AP$7*Results!E945</f>
        <v>1364642.9665390796</v>
      </c>
      <c r="K945" s="28" t="str">
        <f t="shared" ca="1" si="91"/>
        <v>No</v>
      </c>
    </row>
    <row r="946" spans="2:11" ht="11.25" hidden="1">
      <c r="B946" s="27">
        <v>944</v>
      </c>
      <c r="C946" s="29">
        <f t="shared" ca="1" si="88"/>
        <v>6.5438676650618852E-2</v>
      </c>
      <c r="D946" s="29">
        <f t="shared" ca="1" si="89"/>
        <v>5.4999897064346694E-2</v>
      </c>
      <c r="E946" s="29">
        <f t="shared" ca="1" si="90"/>
        <v>9.7071138509171595E-2</v>
      </c>
      <c r="F946" s="30">
        <f ca="1">'Single Simulation'!$AP$4*Results!C946</f>
        <v>124078.01690415049</v>
      </c>
      <c r="G946" s="30">
        <f ca="1">'Single Simulation'!$AP$5*Results!D946</f>
        <v>52021.585944731451</v>
      </c>
      <c r="H946" s="30">
        <f t="shared" ca="1" si="86"/>
        <v>72056.430959419027</v>
      </c>
      <c r="I946" s="30">
        <f t="shared" ca="1" si="87"/>
        <v>6994.5997901383244</v>
      </c>
      <c r="J946" s="25">
        <f ca="1">'Single Simulation'!$AP$7*Results!E946</f>
        <v>1356281.2554713394</v>
      </c>
      <c r="K946" s="28" t="str">
        <f t="shared" ca="1" si="91"/>
        <v>No</v>
      </c>
    </row>
    <row r="947" spans="2:11" ht="11.25" hidden="1">
      <c r="B947" s="27">
        <v>945</v>
      </c>
      <c r="C947" s="24">
        <f t="shared" ca="1" si="88"/>
        <v>9.3313269778696417E-2</v>
      </c>
      <c r="D947" s="24">
        <f t="shared" ca="1" si="89"/>
        <v>4.2495702673158442E-2</v>
      </c>
      <c r="E947" s="24">
        <f t="shared" ca="1" si="90"/>
        <v>0.10121298552469345</v>
      </c>
      <c r="F947" s="25">
        <f ca="1">'Single Simulation'!$AP$4*Results!C947</f>
        <v>176930.92308084067</v>
      </c>
      <c r="G947" s="25">
        <f ca="1">'Single Simulation'!$AP$5*Results!D947</f>
        <v>40194.508842572599</v>
      </c>
      <c r="H947" s="25">
        <f t="shared" ref="H947:H1002" ca="1" si="92">F947-G947</f>
        <v>136736.41423826807</v>
      </c>
      <c r="I947" s="25">
        <f t="shared" ref="I947:I1002" ca="1" si="93">H947*E947</f>
        <v>13839.500714996313</v>
      </c>
      <c r="J947" s="25">
        <f ca="1">'Single Simulation'!$AP$7*Results!E947</f>
        <v>1414151.283127927</v>
      </c>
      <c r="K947" s="28" t="str">
        <f t="shared" ca="1" si="91"/>
        <v>No</v>
      </c>
    </row>
    <row r="948" spans="2:11" ht="11.25" hidden="1">
      <c r="B948" s="27">
        <v>946</v>
      </c>
      <c r="C948" s="29">
        <f t="shared" ca="1" si="88"/>
        <v>6.2153177521269705E-2</v>
      </c>
      <c r="D948" s="29">
        <f t="shared" ca="1" si="89"/>
        <v>5.5550187066789034E-2</v>
      </c>
      <c r="E948" s="29">
        <f t="shared" ca="1" si="90"/>
        <v>7.9194660621489665E-2</v>
      </c>
      <c r="F948" s="30">
        <f ca="1">'Single Simulation'!$AP$4*Results!C948</f>
        <v>117848.39495310665</v>
      </c>
      <c r="G948" s="30">
        <f ca="1">'Single Simulation'!$AP$5*Results!D948</f>
        <v>52542.077076252819</v>
      </c>
      <c r="H948" s="30">
        <f t="shared" ca="1" si="92"/>
        <v>65306.317876853827</v>
      </c>
      <c r="I948" s="30">
        <f t="shared" ca="1" si="93"/>
        <v>5171.9116806965621</v>
      </c>
      <c r="J948" s="25">
        <f ca="1">'Single Simulation'!$AP$7*Results!E948</f>
        <v>1106510.4971875052</v>
      </c>
      <c r="K948" s="28" t="str">
        <f t="shared" ca="1" si="91"/>
        <v>No</v>
      </c>
    </row>
    <row r="949" spans="2:11" ht="11.25" hidden="1">
      <c r="B949" s="27">
        <v>947</v>
      </c>
      <c r="C949" s="24">
        <f t="shared" ca="1" si="88"/>
        <v>6.3982604490856049E-2</v>
      </c>
      <c r="D949" s="24">
        <f t="shared" ca="1" si="89"/>
        <v>7.9777727384768155E-2</v>
      </c>
      <c r="E949" s="24">
        <f t="shared" ca="1" si="90"/>
        <v>7.4119808682179322E-2</v>
      </c>
      <c r="F949" s="25">
        <f ca="1">'Single Simulation'!$AP$4*Results!C949</f>
        <v>121317.16422038822</v>
      </c>
      <c r="G949" s="25">
        <f ca="1">'Single Simulation'!$AP$5*Results!D949</f>
        <v>75457.666707387121</v>
      </c>
      <c r="H949" s="25">
        <f t="shared" ca="1" si="92"/>
        <v>45859.497513001101</v>
      </c>
      <c r="I949" s="25">
        <f t="shared" ca="1" si="93"/>
        <v>3399.0971819245201</v>
      </c>
      <c r="J949" s="25">
        <f ca="1">'Single Simulation'!$AP$7*Results!E949</f>
        <v>1035604.4929385836</v>
      </c>
      <c r="K949" s="28" t="str">
        <f t="shared" ca="1" si="91"/>
        <v>No</v>
      </c>
    </row>
    <row r="950" spans="2:11" ht="11.25" hidden="1">
      <c r="B950" s="27">
        <v>948</v>
      </c>
      <c r="C950" s="29">
        <f t="shared" ca="1" si="88"/>
        <v>3.1472935547860598E-2</v>
      </c>
      <c r="D950" s="29">
        <f t="shared" ca="1" si="89"/>
        <v>6.2199469079773237E-2</v>
      </c>
      <c r="E950" s="29">
        <f t="shared" ca="1" si="90"/>
        <v>1.1947419833146976E-2</v>
      </c>
      <c r="F950" s="30">
        <f ca="1">'Single Simulation'!$AP$4*Results!C950</f>
        <v>59675.709057813838</v>
      </c>
      <c r="G950" s="30">
        <f ca="1">'Single Simulation'!$AP$5*Results!D950</f>
        <v>58831.292405229244</v>
      </c>
      <c r="H950" s="30">
        <f t="shared" ca="1" si="92"/>
        <v>844.41665258459398</v>
      </c>
      <c r="I950" s="30">
        <f t="shared" ca="1" si="93"/>
        <v>10.088600262528757</v>
      </c>
      <c r="J950" s="25">
        <f ca="1">'Single Simulation'!$AP$7*Results!E950</f>
        <v>166929.75708132598</v>
      </c>
      <c r="K950" s="28" t="str">
        <f t="shared" ca="1" si="91"/>
        <v>No</v>
      </c>
    </row>
    <row r="951" spans="2:11" ht="11.25" hidden="1">
      <c r="B951" s="27">
        <v>949</v>
      </c>
      <c r="C951" s="24">
        <f t="shared" ca="1" si="88"/>
        <v>5.4166784024472225E-2</v>
      </c>
      <c r="D951" s="24">
        <f t="shared" ca="1" si="89"/>
        <v>7.3120821795940649E-2</v>
      </c>
      <c r="E951" s="24">
        <f t="shared" ca="1" si="90"/>
        <v>9.3023620984466052E-2</v>
      </c>
      <c r="F951" s="25">
        <f ca="1">'Single Simulation'!$AP$4*Results!C951</f>
        <v>102705.4257181158</v>
      </c>
      <c r="G951" s="25">
        <f ca="1">'Single Simulation'!$AP$5*Results!D951</f>
        <v>69161.24062844376</v>
      </c>
      <c r="H951" s="25">
        <f t="shared" ca="1" si="92"/>
        <v>33544.185089672043</v>
      </c>
      <c r="I951" s="25">
        <f t="shared" ca="1" si="93"/>
        <v>3120.4015600144294</v>
      </c>
      <c r="J951" s="25">
        <f ca="1">'Single Simulation'!$AP$7*Results!E951</f>
        <v>1299729.2026752222</v>
      </c>
      <c r="K951" s="28" t="str">
        <f t="shared" ca="1" si="91"/>
        <v>No</v>
      </c>
    </row>
    <row r="952" spans="2:11" ht="11.25" hidden="1">
      <c r="B952" s="27">
        <v>950</v>
      </c>
      <c r="C952" s="29">
        <f t="shared" ca="1" si="88"/>
        <v>5.7005825911472192E-2</v>
      </c>
      <c r="D952" s="29">
        <f t="shared" ca="1" si="89"/>
        <v>6.5567466237787086E-2</v>
      </c>
      <c r="E952" s="29">
        <f t="shared" ca="1" si="90"/>
        <v>7.592982784482244E-2</v>
      </c>
      <c r="F952" s="30">
        <f ca="1">'Single Simulation'!$AP$4*Results!C952</f>
        <v>108088.52185142433</v>
      </c>
      <c r="G952" s="30">
        <f ca="1">'Single Simulation'!$AP$5*Results!D952</f>
        <v>62016.908433060074</v>
      </c>
      <c r="H952" s="30">
        <f t="shared" ca="1" si="92"/>
        <v>46071.613418364257</v>
      </c>
      <c r="I952" s="30">
        <f t="shared" ca="1" si="93"/>
        <v>3498.2096753896094</v>
      </c>
      <c r="J952" s="25">
        <f ca="1">'Single Simulation'!$AP$7*Results!E952</f>
        <v>1060894.1423651723</v>
      </c>
      <c r="K952" s="28" t="str">
        <f t="shared" ca="1" si="91"/>
        <v>No</v>
      </c>
    </row>
    <row r="953" spans="2:11" ht="11.25" hidden="1">
      <c r="B953" s="27">
        <v>951</v>
      </c>
      <c r="C953" s="24">
        <f t="shared" ca="1" si="88"/>
        <v>5.8742695523008537E-2</v>
      </c>
      <c r="D953" s="24">
        <f t="shared" ca="1" si="89"/>
        <v>3.4532702378583233E-2</v>
      </c>
      <c r="E953" s="24">
        <f t="shared" ca="1" si="90"/>
        <v>5.5127850946617638E-2</v>
      </c>
      <c r="F953" s="25">
        <f ca="1">'Single Simulation'!$AP$4*Results!C953</f>
        <v>111381.79347687481</v>
      </c>
      <c r="G953" s="25">
        <f ca="1">'Single Simulation'!$AP$5*Results!D953</f>
        <v>32662.714669984965</v>
      </c>
      <c r="H953" s="25">
        <f t="shared" ca="1" si="92"/>
        <v>78719.07880688984</v>
      </c>
      <c r="I953" s="25">
        <f t="shared" ca="1" si="93"/>
        <v>4339.6136431212708</v>
      </c>
      <c r="J953" s="25">
        <f ca="1">'Single Simulation'!$AP$7*Results!E953</f>
        <v>770248.21220419742</v>
      </c>
      <c r="K953" s="28" t="str">
        <f t="shared" ca="1" si="91"/>
        <v>No</v>
      </c>
    </row>
    <row r="954" spans="2:11" ht="11.25" hidden="1">
      <c r="B954" s="27">
        <v>952</v>
      </c>
      <c r="C954" s="29">
        <f t="shared" ca="1" si="88"/>
        <v>4.8444453513864935E-2</v>
      </c>
      <c r="D954" s="29">
        <f t="shared" ca="1" si="89"/>
        <v>5.0188453604016213E-2</v>
      </c>
      <c r="E954" s="29">
        <f t="shared" ca="1" si="90"/>
        <v>0.10303337032811409</v>
      </c>
      <c r="F954" s="30">
        <f ca="1">'Single Simulation'!$AP$4*Results!C954</f>
        <v>91855.337388593442</v>
      </c>
      <c r="G954" s="30">
        <f ca="1">'Single Simulation'!$AP$5*Results!D954</f>
        <v>47470.687982195937</v>
      </c>
      <c r="H954" s="30">
        <f t="shared" ca="1" si="92"/>
        <v>44384.649406397504</v>
      </c>
      <c r="I954" s="30">
        <f t="shared" ca="1" si="93"/>
        <v>4573.1000191728635</v>
      </c>
      <c r="J954" s="25">
        <f ca="1">'Single Simulation'!$AP$7*Results!E954</f>
        <v>1439585.7616407243</v>
      </c>
      <c r="K954" s="28" t="str">
        <f t="shared" ca="1" si="91"/>
        <v>No</v>
      </c>
    </row>
    <row r="955" spans="2:11" ht="11.25" hidden="1">
      <c r="B955" s="27">
        <v>953</v>
      </c>
      <c r="C955" s="24">
        <f t="shared" ca="1" si="88"/>
        <v>6.0997767947911757E-2</v>
      </c>
      <c r="D955" s="24">
        <f t="shared" ca="1" si="89"/>
        <v>3.7104844411247645E-2</v>
      </c>
      <c r="E955" s="24">
        <f t="shared" ca="1" si="90"/>
        <v>0.13640678662796193</v>
      </c>
      <c r="F955" s="25">
        <f ca="1">'Single Simulation'!$AP$4*Results!C955</f>
        <v>115657.62741451876</v>
      </c>
      <c r="G955" s="25">
        <f ca="1">'Single Simulation'!$AP$5*Results!D955</f>
        <v>35095.572092568167</v>
      </c>
      <c r="H955" s="25">
        <f t="shared" ca="1" si="92"/>
        <v>80562.055321950596</v>
      </c>
      <c r="I955" s="25">
        <f t="shared" ca="1" si="93"/>
        <v>10989.211090611379</v>
      </c>
      <c r="J955" s="25">
        <f ca="1">'Single Simulation'!$AP$7*Results!E955</f>
        <v>1905880.2715608757</v>
      </c>
      <c r="K955" s="28" t="str">
        <f t="shared" ca="1" si="91"/>
        <v>No</v>
      </c>
    </row>
    <row r="956" spans="2:11" ht="11.25" hidden="1">
      <c r="B956" s="27">
        <v>954</v>
      </c>
      <c r="C956" s="29">
        <f t="shared" ca="1" si="88"/>
        <v>8.844990392873664E-2</v>
      </c>
      <c r="D956" s="29">
        <f t="shared" ca="1" si="89"/>
        <v>5.9056435342869709E-2</v>
      </c>
      <c r="E956" s="29">
        <f t="shared" ca="1" si="90"/>
        <v>0.10472071111742023</v>
      </c>
      <c r="F956" s="30">
        <f ca="1">'Single Simulation'!$AP$4*Results!C956</f>
        <v>167709.514259202</v>
      </c>
      <c r="G956" s="30">
        <f ca="1">'Single Simulation'!$AP$5*Results!D956</f>
        <v>55858.457756462078</v>
      </c>
      <c r="H956" s="30">
        <f t="shared" ca="1" si="92"/>
        <v>111851.05650273993</v>
      </c>
      <c r="I956" s="30">
        <f t="shared" ca="1" si="93"/>
        <v>11713.122176201676</v>
      </c>
      <c r="J956" s="25">
        <f ca="1">'Single Simulation'!$AP$7*Results!E956</f>
        <v>1463161.3446541235</v>
      </c>
      <c r="K956" s="28" t="str">
        <f t="shared" ca="1" si="91"/>
        <v>No</v>
      </c>
    </row>
    <row r="957" spans="2:11" ht="11.25" hidden="1">
      <c r="B957" s="27">
        <v>955</v>
      </c>
      <c r="C957" s="24">
        <f t="shared" ca="1" si="88"/>
        <v>5.3192345841033786E-2</v>
      </c>
      <c r="D957" s="24">
        <f t="shared" ca="1" si="89"/>
        <v>5.1193756770313514E-2</v>
      </c>
      <c r="E957" s="24">
        <f t="shared" ca="1" si="90"/>
        <v>7.8755995697789169E-2</v>
      </c>
      <c r="F957" s="25">
        <f ca="1">'Single Simulation'!$AP$4*Results!C957</f>
        <v>100857.79731874808</v>
      </c>
      <c r="G957" s="25">
        <f ca="1">'Single Simulation'!$AP$5*Results!D957</f>
        <v>48421.552762994717</v>
      </c>
      <c r="H957" s="25">
        <f t="shared" ca="1" si="92"/>
        <v>52436.244555753365</v>
      </c>
      <c r="I957" s="25">
        <f t="shared" ca="1" si="93"/>
        <v>4129.6686506411324</v>
      </c>
      <c r="J957" s="25">
        <f ca="1">'Single Simulation'!$AP$7*Results!E957</f>
        <v>1100381.4559236951</v>
      </c>
      <c r="K957" s="28" t="str">
        <f t="shared" ca="1" si="91"/>
        <v>No</v>
      </c>
    </row>
    <row r="958" spans="2:11" ht="11.25" hidden="1">
      <c r="B958" s="27">
        <v>956</v>
      </c>
      <c r="C958" s="29">
        <f t="shared" ca="1" si="88"/>
        <v>5.7773116855231801E-2</v>
      </c>
      <c r="D958" s="29">
        <f t="shared" ca="1" si="89"/>
        <v>5.0008802963744839E-2</v>
      </c>
      <c r="E958" s="29">
        <f t="shared" ca="1" si="90"/>
        <v>6.7537366991090211E-2</v>
      </c>
      <c r="F958" s="30">
        <f ca="1">'Single Simulation'!$AP$4*Results!C958</f>
        <v>109543.37918600196</v>
      </c>
      <c r="G958" s="30">
        <f ca="1">'Single Simulation'!$AP$5*Results!D958</f>
        <v>47300.765641941929</v>
      </c>
      <c r="H958" s="30">
        <f t="shared" ca="1" si="92"/>
        <v>62242.613544060026</v>
      </c>
      <c r="I958" s="30">
        <f t="shared" ca="1" si="93"/>
        <v>4203.7022334097837</v>
      </c>
      <c r="J958" s="25">
        <f ca="1">'Single Simulation'!$AP$7*Results!E958</f>
        <v>943634.39329857868</v>
      </c>
      <c r="K958" s="28" t="str">
        <f t="shared" ca="1" si="91"/>
        <v>No</v>
      </c>
    </row>
    <row r="959" spans="2:11" ht="11.25" hidden="1">
      <c r="B959" s="27">
        <v>957</v>
      </c>
      <c r="C959" s="24">
        <f t="shared" ca="1" si="88"/>
        <v>4.9089747705288449E-2</v>
      </c>
      <c r="D959" s="24">
        <f t="shared" ca="1" si="89"/>
        <v>6.3234528922135741E-2</v>
      </c>
      <c r="E959" s="24">
        <f t="shared" ca="1" si="90"/>
        <v>4.6823972652771828E-2</v>
      </c>
      <c r="F959" s="25">
        <f ca="1">'Single Simulation'!$AP$4*Results!C959</f>
        <v>93078.877161854412</v>
      </c>
      <c r="G959" s="25">
        <f ca="1">'Single Simulation'!$AP$5*Results!D959</f>
        <v>59810.302502000966</v>
      </c>
      <c r="H959" s="25">
        <f t="shared" ca="1" si="92"/>
        <v>33268.574659853446</v>
      </c>
      <c r="I959" s="25">
        <f t="shared" ca="1" si="93"/>
        <v>1557.7668300696755</v>
      </c>
      <c r="J959" s="25">
        <f ca="1">'Single Simulation'!$AP$7*Results!E959</f>
        <v>654226.14168326405</v>
      </c>
      <c r="K959" s="28" t="str">
        <f t="shared" ca="1" si="91"/>
        <v>No</v>
      </c>
    </row>
    <row r="960" spans="2:11" ht="11.25" hidden="1">
      <c r="B960" s="27">
        <v>958</v>
      </c>
      <c r="C960" s="29">
        <f t="shared" ca="1" si="88"/>
        <v>8.0305335243167242E-2</v>
      </c>
      <c r="D960" s="29">
        <f t="shared" ca="1" si="89"/>
        <v>6.7703926766835038E-2</v>
      </c>
      <c r="E960" s="29">
        <f t="shared" ca="1" si="90"/>
        <v>1.9435195989401043E-2</v>
      </c>
      <c r="F960" s="30">
        <f ca="1">'Single Simulation'!$AP$4*Results!C960</f>
        <v>152266.62967214736</v>
      </c>
      <c r="G960" s="30">
        <f ca="1">'Single Simulation'!$AP$5*Results!D960</f>
        <v>64037.677033760629</v>
      </c>
      <c r="H960" s="30">
        <f t="shared" ca="1" si="92"/>
        <v>88228.952638386734</v>
      </c>
      <c r="I960" s="30">
        <f t="shared" ca="1" si="93"/>
        <v>1714.7469864666284</v>
      </c>
      <c r="J960" s="25">
        <f ca="1">'Single Simulation'!$AP$7*Results!E960</f>
        <v>271549.22072275734</v>
      </c>
      <c r="K960" s="28" t="str">
        <f t="shared" ca="1" si="91"/>
        <v>No</v>
      </c>
    </row>
    <row r="961" spans="2:11" ht="11.25" hidden="1">
      <c r="B961" s="27">
        <v>959</v>
      </c>
      <c r="C961" s="24">
        <f t="shared" ca="1" si="88"/>
        <v>3.7861766168906255E-2</v>
      </c>
      <c r="D961" s="24">
        <f t="shared" ca="1" si="89"/>
        <v>4.7123781683365625E-2</v>
      </c>
      <c r="E961" s="24">
        <f t="shared" ca="1" si="90"/>
        <v>6.8122071029733319E-2</v>
      </c>
      <c r="F961" s="25">
        <f ca="1">'Single Simulation'!$AP$4*Results!C961</f>
        <v>71789.545620068966</v>
      </c>
      <c r="G961" s="25">
        <f ca="1">'Single Simulation'!$AP$5*Results!D961</f>
        <v>44571.971762309069</v>
      </c>
      <c r="H961" s="25">
        <f t="shared" ca="1" si="92"/>
        <v>27217.573857759897</v>
      </c>
      <c r="I961" s="25">
        <f t="shared" ca="1" si="93"/>
        <v>1854.1174995953324</v>
      </c>
      <c r="J961" s="25">
        <f ca="1">'Single Simulation'!$AP$7*Results!E961</f>
        <v>951803.89805343538</v>
      </c>
      <c r="K961" s="28" t="str">
        <f t="shared" ca="1" si="91"/>
        <v>No</v>
      </c>
    </row>
    <row r="962" spans="2:11" ht="11.25" hidden="1">
      <c r="B962" s="27">
        <v>960</v>
      </c>
      <c r="C962" s="29">
        <f t="shared" ca="1" si="88"/>
        <v>6.4158924848628562E-2</v>
      </c>
      <c r="D962" s="29">
        <f t="shared" ca="1" si="89"/>
        <v>5.3505534961131973E-2</v>
      </c>
      <c r="E962" s="29">
        <f t="shared" ca="1" si="90"/>
        <v>4.4313725768901087E-2</v>
      </c>
      <c r="F962" s="30">
        <f ca="1">'Single Simulation'!$AP$4*Results!C962</f>
        <v>121651.48455588415</v>
      </c>
      <c r="G962" s="30">
        <f ca="1">'Single Simulation'!$AP$5*Results!D962</f>
        <v>50608.145361488467</v>
      </c>
      <c r="H962" s="30">
        <f t="shared" ca="1" si="92"/>
        <v>71043.339194395681</v>
      </c>
      <c r="I962" s="30">
        <f t="shared" ca="1" si="93"/>
        <v>3148.1950507674724</v>
      </c>
      <c r="J962" s="25">
        <f ca="1">'Single Simulation'!$AP$7*Results!E962</f>
        <v>619152.88667165674</v>
      </c>
      <c r="K962" s="28" t="str">
        <f t="shared" ca="1" si="91"/>
        <v>No</v>
      </c>
    </row>
    <row r="963" spans="2:11" ht="11.25" hidden="1">
      <c r="B963" s="27">
        <v>961</v>
      </c>
      <c r="C963" s="24">
        <f t="shared" ca="1" si="88"/>
        <v>6.7126404926277625E-2</v>
      </c>
      <c r="D963" s="24">
        <f t="shared" ca="1" si="89"/>
        <v>3.9795459594933864E-2</v>
      </c>
      <c r="E963" s="24">
        <f t="shared" ca="1" si="90"/>
        <v>0.14468776203284203</v>
      </c>
      <c r="F963" s="25">
        <f ca="1">'Single Simulation'!$AP$4*Results!C963</f>
        <v>127278.11183630896</v>
      </c>
      <c r="G963" s="25">
        <f ca="1">'Single Simulation'!$AP$5*Results!D963</f>
        <v>37640.487201383286</v>
      </c>
      <c r="H963" s="25">
        <f t="shared" ca="1" si="92"/>
        <v>89637.624634925683</v>
      </c>
      <c r="I963" s="25">
        <f t="shared" ca="1" si="93"/>
        <v>12969.467302367346</v>
      </c>
      <c r="J963" s="25">
        <f ca="1">'Single Simulation'!$AP$7*Results!E963</f>
        <v>2021582.342136641</v>
      </c>
      <c r="K963" s="28" t="str">
        <f t="shared" ca="1" si="91"/>
        <v>No</v>
      </c>
    </row>
    <row r="964" spans="2:11" ht="11.25" hidden="1">
      <c r="B964" s="27">
        <v>962</v>
      </c>
      <c r="C964" s="29">
        <f t="shared" ref="C964:C1002" ca="1" si="94">MAX(0.02,MIN(0.12,_xlfn.NORM.INV(RAND(),0.06,0.02)))</f>
        <v>3.8277975303220163E-2</v>
      </c>
      <c r="D964" s="29">
        <f t="shared" ref="D964:D1002" ca="1" si="95">MAX(0.02,MIN(0.08,_xlfn.NORM.INV(RAND(),0.05,0.015)))</f>
        <v>4.12315610542607E-2</v>
      </c>
      <c r="E964" s="29">
        <f t="shared" ref="E964:E1002" ca="1" si="96">MAX(-0.1,MIN(0.25,_xlfn.NORM.INV(RAND(),0.07,0.04)))</f>
        <v>0.107827676709311</v>
      </c>
      <c r="F964" s="30">
        <f ca="1">'Single Simulation'!$AP$4*Results!C964</f>
        <v>72578.718119366051</v>
      </c>
      <c r="G964" s="30">
        <f ca="1">'Single Simulation'!$AP$5*Results!D964</f>
        <v>38998.822025252513</v>
      </c>
      <c r="H964" s="30">
        <f t="shared" ca="1" si="92"/>
        <v>33579.896094113537</v>
      </c>
      <c r="I964" s="30">
        <f t="shared" ca="1" si="93"/>
        <v>3620.8421799683297</v>
      </c>
      <c r="J964" s="25">
        <f ca="1">'Single Simulation'!$AP$7*Results!E964</f>
        <v>1506571.9737905862</v>
      </c>
      <c r="K964" s="28" t="str">
        <f t="shared" ref="K964:K1002" ca="1" si="97">IF(J964&gt;$N$4,"Yes","No")</f>
        <v>No</v>
      </c>
    </row>
    <row r="965" spans="2:11" ht="11.25" hidden="1">
      <c r="B965" s="27">
        <v>963</v>
      </c>
      <c r="C965" s="24">
        <f t="shared" ca="1" si="94"/>
        <v>3.7910818770586122E-2</v>
      </c>
      <c r="D965" s="24">
        <f t="shared" ca="1" si="95"/>
        <v>5.329115381769136E-2</v>
      </c>
      <c r="E965" s="24">
        <f t="shared" ca="1" si="96"/>
        <v>7.0093939446596851E-2</v>
      </c>
      <c r="F965" s="25">
        <f ca="1">'Single Simulation'!$AP$4*Results!C965</f>
        <v>71882.554064798402</v>
      </c>
      <c r="G965" s="25">
        <f ca="1">'Single Simulation'!$AP$5*Results!D965</f>
        <v>50405.373216926484</v>
      </c>
      <c r="H965" s="25">
        <f t="shared" ca="1" si="92"/>
        <v>21477.180847871918</v>
      </c>
      <c r="I965" s="25">
        <f t="shared" ca="1" si="93"/>
        <v>1505.4202138343437</v>
      </c>
      <c r="J965" s="25">
        <f ca="1">'Single Simulation'!$AP$7*Results!E965</f>
        <v>979354.91077587579</v>
      </c>
      <c r="K965" s="28" t="str">
        <f t="shared" ca="1" si="97"/>
        <v>No</v>
      </c>
    </row>
    <row r="966" spans="2:11" ht="11.25" hidden="1">
      <c r="B966" s="27">
        <v>964</v>
      </c>
      <c r="C966" s="29">
        <f t="shared" ca="1" si="94"/>
        <v>5.0105059796256297E-2</v>
      </c>
      <c r="D966" s="29">
        <f t="shared" ca="1" si="95"/>
        <v>4.8952214643359346E-2</v>
      </c>
      <c r="E966" s="29">
        <f t="shared" ca="1" si="96"/>
        <v>6.0305376910926009E-2</v>
      </c>
      <c r="F966" s="30">
        <f ca="1">'Single Simulation'!$AP$4*Results!C966</f>
        <v>95004.00641620504</v>
      </c>
      <c r="G966" s="30">
        <f ca="1">'Single Simulation'!$AP$5*Results!D966</f>
        <v>46301.392860337866</v>
      </c>
      <c r="H966" s="30">
        <f t="shared" ca="1" si="92"/>
        <v>48702.613555867174</v>
      </c>
      <c r="I966" s="30">
        <f t="shared" ca="1" si="93"/>
        <v>2937.0294670337444</v>
      </c>
      <c r="J966" s="25">
        <f ca="1">'Single Simulation'!$AP$7*Results!E966</f>
        <v>842588.78142956132</v>
      </c>
      <c r="K966" s="28" t="str">
        <f t="shared" ca="1" si="97"/>
        <v>No</v>
      </c>
    </row>
    <row r="967" spans="2:11" ht="11.25" hidden="1">
      <c r="B967" s="27">
        <v>965</v>
      </c>
      <c r="C967" s="24">
        <f t="shared" ca="1" si="94"/>
        <v>6.7156877185861538E-2</v>
      </c>
      <c r="D967" s="24">
        <f t="shared" ca="1" si="95"/>
        <v>3.6189431760042169E-2</v>
      </c>
      <c r="E967" s="24">
        <f t="shared" ca="1" si="96"/>
        <v>6.9135086795962669E-2</v>
      </c>
      <c r="F967" s="25">
        <f ca="1">'Single Simulation'!$AP$4*Results!C967</f>
        <v>127335.89016761519</v>
      </c>
      <c r="G967" s="25">
        <f ca="1">'Single Simulation'!$AP$5*Results!D967</f>
        <v>34229.730146466594</v>
      </c>
      <c r="H967" s="25">
        <f t="shared" ca="1" si="92"/>
        <v>93106.160021148593</v>
      </c>
      <c r="I967" s="25">
        <f t="shared" ca="1" si="93"/>
        <v>6436.9024543008973</v>
      </c>
      <c r="J967" s="25">
        <f ca="1">'Single Simulation'!$AP$7*Results!E967</f>
        <v>965957.7888631532</v>
      </c>
      <c r="K967" s="28" t="str">
        <f t="shared" ca="1" si="97"/>
        <v>No</v>
      </c>
    </row>
    <row r="968" spans="2:11" ht="11.25" hidden="1">
      <c r="B968" s="27">
        <v>966</v>
      </c>
      <c r="C968" s="29">
        <f t="shared" ca="1" si="94"/>
        <v>4.9538057517790043E-2</v>
      </c>
      <c r="D968" s="29">
        <f t="shared" ca="1" si="95"/>
        <v>6.2689368567194578E-2</v>
      </c>
      <c r="E968" s="29">
        <f t="shared" ca="1" si="96"/>
        <v>6.1884304952542352E-2</v>
      </c>
      <c r="F968" s="30">
        <f ca="1">'Single Simulation'!$AP$4*Results!C968</f>
        <v>93928.915630554766</v>
      </c>
      <c r="G968" s="30">
        <f ca="1">'Single Simulation'!$AP$5*Results!D968</f>
        <v>59294.663241348309</v>
      </c>
      <c r="H968" s="30">
        <f t="shared" ca="1" si="92"/>
        <v>34634.252389206456</v>
      </c>
      <c r="I968" s="30">
        <f t="shared" ca="1" si="93"/>
        <v>2143.3166366569708</v>
      </c>
      <c r="J968" s="25">
        <f ca="1">'Single Simulation'!$AP$7*Results!E968</f>
        <v>864649.61783749098</v>
      </c>
      <c r="K968" s="28" t="str">
        <f t="shared" ca="1" si="97"/>
        <v>No</v>
      </c>
    </row>
    <row r="969" spans="2:11" ht="11.25" hidden="1">
      <c r="B969" s="27">
        <v>967</v>
      </c>
      <c r="C969" s="24">
        <f t="shared" ca="1" si="94"/>
        <v>7.805008941655435E-2</v>
      </c>
      <c r="D969" s="24">
        <f t="shared" ca="1" si="95"/>
        <v>5.3608287405846583E-2</v>
      </c>
      <c r="E969" s="24">
        <f t="shared" ca="1" si="96"/>
        <v>3.0913654570277116E-2</v>
      </c>
      <c r="F969" s="25">
        <f ca="1">'Single Simulation'!$AP$4*Results!C969</f>
        <v>147990.46694820508</v>
      </c>
      <c r="G969" s="25">
        <f ca="1">'Single Simulation'!$AP$5*Results!D969</f>
        <v>50705.333636722848</v>
      </c>
      <c r="H969" s="25">
        <f t="shared" ca="1" si="92"/>
        <v>97285.133311482234</v>
      </c>
      <c r="I969" s="25">
        <f t="shared" ca="1" si="93"/>
        <v>3007.4390060145211</v>
      </c>
      <c r="J969" s="25">
        <f ca="1">'Single Simulation'!$AP$7*Results!E969</f>
        <v>431926.63520497706</v>
      </c>
      <c r="K969" s="28" t="str">
        <f t="shared" ca="1" si="97"/>
        <v>No</v>
      </c>
    </row>
    <row r="970" spans="2:11" ht="11.25" hidden="1">
      <c r="B970" s="27">
        <v>968</v>
      </c>
      <c r="C970" s="29">
        <f t="shared" ca="1" si="94"/>
        <v>7.2373039106513409E-2</v>
      </c>
      <c r="D970" s="29">
        <f t="shared" ca="1" si="95"/>
        <v>6.0775496932348412E-2</v>
      </c>
      <c r="E970" s="29">
        <f t="shared" ca="1" si="96"/>
        <v>0.11488761317405241</v>
      </c>
      <c r="F970" s="30">
        <f ca="1">'Single Simulation'!$AP$4*Results!C970</f>
        <v>137226.23422852778</v>
      </c>
      <c r="G970" s="30">
        <f ca="1">'Single Simulation'!$AP$5*Results!D970</f>
        <v>57484.430076314369</v>
      </c>
      <c r="H970" s="30">
        <f t="shared" ca="1" si="92"/>
        <v>79741.804152213415</v>
      </c>
      <c r="I970" s="30">
        <f t="shared" ca="1" si="93"/>
        <v>9161.345549240541</v>
      </c>
      <c r="J970" s="25">
        <f ca="1">'Single Simulation'!$AP$7*Results!E970</f>
        <v>1605213.646681264</v>
      </c>
      <c r="K970" s="28" t="str">
        <f t="shared" ca="1" si="97"/>
        <v>No</v>
      </c>
    </row>
    <row r="971" spans="2:11" ht="11.25" hidden="1">
      <c r="B971" s="27">
        <v>969</v>
      </c>
      <c r="C971" s="24">
        <f t="shared" ca="1" si="94"/>
        <v>6.3343246155488128E-2</v>
      </c>
      <c r="D971" s="24">
        <f t="shared" ca="1" si="95"/>
        <v>5.6883157313632242E-2</v>
      </c>
      <c r="E971" s="24">
        <f t="shared" ca="1" si="96"/>
        <v>5.3452919374538055E-2</v>
      </c>
      <c r="F971" s="25">
        <f ca="1">'Single Simulation'!$AP$4*Results!C971</f>
        <v>120104.87940040111</v>
      </c>
      <c r="G971" s="25">
        <f ca="1">'Single Simulation'!$AP$5*Results!D971</f>
        <v>53802.865367852639</v>
      </c>
      <c r="H971" s="25">
        <f t="shared" ca="1" si="92"/>
        <v>66302.014032548468</v>
      </c>
      <c r="I971" s="25">
        <f t="shared" ca="1" si="93"/>
        <v>3544.0362104513042</v>
      </c>
      <c r="J971" s="25">
        <f ca="1">'Single Simulation'!$AP$7*Results!E971</f>
        <v>746846.01119679864</v>
      </c>
      <c r="K971" s="28" t="str">
        <f t="shared" ca="1" si="97"/>
        <v>No</v>
      </c>
    </row>
    <row r="972" spans="2:11" ht="11.25" hidden="1">
      <c r="B972" s="27">
        <v>970</v>
      </c>
      <c r="C972" s="29">
        <f t="shared" ca="1" si="94"/>
        <v>4.9719993592264436E-2</v>
      </c>
      <c r="D972" s="29">
        <f t="shared" ca="1" si="95"/>
        <v>0.02</v>
      </c>
      <c r="E972" s="29">
        <f t="shared" ca="1" si="96"/>
        <v>3.3306379815516464E-2</v>
      </c>
      <c r="F972" s="30">
        <f ca="1">'Single Simulation'!$AP$4*Results!C972</f>
        <v>94273.883904357644</v>
      </c>
      <c r="G972" s="30">
        <f ca="1">'Single Simulation'!$AP$5*Results!D972</f>
        <v>18916.975747743385</v>
      </c>
      <c r="H972" s="30">
        <f t="shared" ca="1" si="92"/>
        <v>75356.908156614256</v>
      </c>
      <c r="I972" s="30">
        <f t="shared" ca="1" si="93"/>
        <v>2509.865804787185</v>
      </c>
      <c r="J972" s="25">
        <f ca="1">'Single Simulation'!$AP$7*Results!E972</f>
        <v>465357.87387644453</v>
      </c>
      <c r="K972" s="28" t="str">
        <f t="shared" ca="1" si="97"/>
        <v>No</v>
      </c>
    </row>
    <row r="973" spans="2:11" ht="11.25" hidden="1">
      <c r="B973" s="27">
        <v>971</v>
      </c>
      <c r="C973" s="24">
        <f t="shared" ca="1" si="94"/>
        <v>6.9838012210247352E-2</v>
      </c>
      <c r="D973" s="24">
        <f t="shared" ca="1" si="95"/>
        <v>6.8893032893024064E-2</v>
      </c>
      <c r="E973" s="24">
        <f t="shared" ca="1" si="96"/>
        <v>2.243116184781855E-2</v>
      </c>
      <c r="F973" s="25">
        <f ca="1">'Single Simulation'!$AP$4*Results!C973</f>
        <v>132419.57972103017</v>
      </c>
      <c r="G973" s="25">
        <f ca="1">'Single Simulation'!$AP$5*Results!D973</f>
        <v>65162.391621291172</v>
      </c>
      <c r="H973" s="25">
        <f t="shared" ca="1" si="92"/>
        <v>67257.188099738996</v>
      </c>
      <c r="I973" s="25">
        <f t="shared" ca="1" si="93"/>
        <v>1508.6568716944212</v>
      </c>
      <c r="J973" s="25">
        <f ca="1">'Single Simulation'!$AP$7*Results!E973</f>
        <v>313408.95780021878</v>
      </c>
      <c r="K973" s="28" t="str">
        <f t="shared" ca="1" si="97"/>
        <v>No</v>
      </c>
    </row>
    <row r="974" spans="2:11" ht="11.25" hidden="1">
      <c r="B974" s="27">
        <v>972</v>
      </c>
      <c r="C974" s="29">
        <f t="shared" ca="1" si="94"/>
        <v>4.8779594868800139E-2</v>
      </c>
      <c r="D974" s="29">
        <f t="shared" ca="1" si="95"/>
        <v>0.08</v>
      </c>
      <c r="E974" s="29">
        <f t="shared" ca="1" si="96"/>
        <v>-1.8256226426608221E-2</v>
      </c>
      <c r="F974" s="30">
        <f ca="1">'Single Simulation'!$AP$4*Results!C974</f>
        <v>92490.797590897768</v>
      </c>
      <c r="G974" s="30">
        <f ca="1">'Single Simulation'!$AP$5*Results!D974</f>
        <v>75667.90299097354</v>
      </c>
      <c r="H974" s="30">
        <f t="shared" ca="1" si="92"/>
        <v>16822.894599924228</v>
      </c>
      <c r="I974" s="30">
        <f t="shared" ca="1" si="93"/>
        <v>-307.12257296718144</v>
      </c>
      <c r="J974" s="25">
        <f ca="1">'Single Simulation'!$AP$7*Results!E974</f>
        <v>-255076.61781168648</v>
      </c>
      <c r="K974" s="28" t="str">
        <f t="shared" ca="1" si="97"/>
        <v>No</v>
      </c>
    </row>
    <row r="975" spans="2:11" ht="11.25" hidden="1">
      <c r="B975" s="27">
        <v>973</v>
      </c>
      <c r="C975" s="24">
        <f t="shared" ca="1" si="94"/>
        <v>3.7658187344043213E-2</v>
      </c>
      <c r="D975" s="24">
        <f t="shared" ca="1" si="95"/>
        <v>5.2873659123187165E-2</v>
      </c>
      <c r="E975" s="24">
        <f t="shared" ca="1" si="96"/>
        <v>0.10238710284965227</v>
      </c>
      <c r="F975" s="25">
        <f ca="1">'Single Simulation'!$AP$4*Results!C975</f>
        <v>71403.540612548008</v>
      </c>
      <c r="G975" s="25">
        <f ca="1">'Single Simulation'!$AP$5*Results!D975</f>
        <v>50010.486366389116</v>
      </c>
      <c r="H975" s="25">
        <f t="shared" ca="1" si="92"/>
        <v>21393.054246158892</v>
      </c>
      <c r="I975" s="25">
        <f t="shared" ca="1" si="93"/>
        <v>2190.3728453696608</v>
      </c>
      <c r="J975" s="25">
        <f ca="1">'Single Simulation'!$AP$7*Results!E975</f>
        <v>1430556.0904066153</v>
      </c>
      <c r="K975" s="28" t="str">
        <f t="shared" ca="1" si="97"/>
        <v>No</v>
      </c>
    </row>
    <row r="976" spans="2:11" ht="11.25" hidden="1">
      <c r="B976" s="27">
        <v>974</v>
      </c>
      <c r="C976" s="29">
        <f t="shared" ca="1" si="94"/>
        <v>5.3273958934036372E-2</v>
      </c>
      <c r="D976" s="29">
        <f t="shared" ca="1" si="95"/>
        <v>4.2579656485111403E-2</v>
      </c>
      <c r="E976" s="29">
        <f t="shared" ca="1" si="96"/>
        <v>-4.2671344254873678E-2</v>
      </c>
      <c r="F976" s="30">
        <f ca="1">'Single Simulation'!$AP$4*Results!C976</f>
        <v>101012.54358275401</v>
      </c>
      <c r="G976" s="30">
        <f ca="1">'Single Simulation'!$AP$5*Results!D976</f>
        <v>40273.916453804835</v>
      </c>
      <c r="H976" s="30">
        <f t="shared" ca="1" si="92"/>
        <v>60738.627128949171</v>
      </c>
      <c r="I976" s="30">
        <f t="shared" ca="1" si="93"/>
        <v>-2591.7988677877997</v>
      </c>
      <c r="J976" s="25">
        <f ca="1">'Single Simulation'!$AP$7*Results!E976</f>
        <v>-596205.47618468129</v>
      </c>
      <c r="K976" s="28" t="str">
        <f t="shared" ca="1" si="97"/>
        <v>No</v>
      </c>
    </row>
    <row r="977" spans="2:11" ht="11.25" hidden="1">
      <c r="B977" s="27">
        <v>975</v>
      </c>
      <c r="C977" s="24">
        <f t="shared" ca="1" si="94"/>
        <v>7.8101656995173796E-2</v>
      </c>
      <c r="D977" s="24">
        <f t="shared" ca="1" si="95"/>
        <v>0.02</v>
      </c>
      <c r="E977" s="24">
        <f t="shared" ca="1" si="96"/>
        <v>3.3798022957354693E-2</v>
      </c>
      <c r="F977" s="25">
        <f ca="1">'Single Simulation'!$AP$4*Results!C977</f>
        <v>148088.24403079815</v>
      </c>
      <c r="G977" s="25">
        <f ca="1">'Single Simulation'!$AP$5*Results!D977</f>
        <v>18916.975747743385</v>
      </c>
      <c r="H977" s="25">
        <f t="shared" ca="1" si="92"/>
        <v>129171.26828305476</v>
      </c>
      <c r="I977" s="25">
        <f t="shared" ca="1" si="93"/>
        <v>4365.7334908613066</v>
      </c>
      <c r="J977" s="25">
        <f ca="1">'Single Simulation'!$AP$7*Results!E977</f>
        <v>472227.12860959285</v>
      </c>
      <c r="K977" s="28" t="str">
        <f t="shared" ca="1" si="97"/>
        <v>No</v>
      </c>
    </row>
    <row r="978" spans="2:11" ht="11.25" hidden="1">
      <c r="B978" s="27">
        <v>976</v>
      </c>
      <c r="C978" s="29">
        <f t="shared" ca="1" si="94"/>
        <v>7.6100415890722292E-2</v>
      </c>
      <c r="D978" s="29">
        <f t="shared" ca="1" si="95"/>
        <v>5.4074889875987436E-2</v>
      </c>
      <c r="E978" s="29">
        <f t="shared" ca="1" si="96"/>
        <v>6.7905233865005729E-2</v>
      </c>
      <c r="F978" s="30">
        <f ca="1">'Single Simulation'!$AP$4*Results!C978</f>
        <v>144293.69865951632</v>
      </c>
      <c r="G978" s="30">
        <f ca="1">'Single Simulation'!$AP$5*Results!D978</f>
        <v>51146.669017297427</v>
      </c>
      <c r="H978" s="30">
        <f t="shared" ca="1" si="92"/>
        <v>93147.029642218899</v>
      </c>
      <c r="I978" s="30">
        <f t="shared" ca="1" si="93"/>
        <v>6325.1708316854956</v>
      </c>
      <c r="J978" s="25">
        <f ca="1">'Single Simulation'!$AP$7*Results!E978</f>
        <v>948774.24179796875</v>
      </c>
      <c r="K978" s="28" t="str">
        <f t="shared" ca="1" si="97"/>
        <v>No</v>
      </c>
    </row>
    <row r="979" spans="2:11" ht="11.25" hidden="1">
      <c r="B979" s="27">
        <v>977</v>
      </c>
      <c r="C979" s="24">
        <f t="shared" ca="1" si="94"/>
        <v>6.6523725104278675E-2</v>
      </c>
      <c r="D979" s="24">
        <f t="shared" ca="1" si="95"/>
        <v>3.5696987172757134E-2</v>
      </c>
      <c r="E979" s="24">
        <f t="shared" ca="1" si="96"/>
        <v>2.1348251411535818E-3</v>
      </c>
      <c r="F979" s="25">
        <f ca="1">'Single Simulation'!$AP$4*Results!C979</f>
        <v>126135.37300097114</v>
      </c>
      <c r="G979" s="25">
        <f ca="1">'Single Simulation'!$AP$5*Results!D979</f>
        <v>33763.952030727669</v>
      </c>
      <c r="H979" s="25">
        <f t="shared" ca="1" si="92"/>
        <v>92371.420970243475</v>
      </c>
      <c r="I979" s="25">
        <f t="shared" ca="1" si="93"/>
        <v>197.19683181135696</v>
      </c>
      <c r="J979" s="25">
        <f ca="1">'Single Simulation'!$AP$7*Results!E979</f>
        <v>29827.849627847834</v>
      </c>
      <c r="K979" s="28" t="str">
        <f t="shared" ca="1" si="97"/>
        <v>No</v>
      </c>
    </row>
    <row r="980" spans="2:11" ht="11.25" hidden="1">
      <c r="B980" s="27">
        <v>978</v>
      </c>
      <c r="C980" s="29">
        <f t="shared" ca="1" si="94"/>
        <v>7.8179747369005528E-2</v>
      </c>
      <c r="D980" s="29">
        <f t="shared" ca="1" si="95"/>
        <v>5.9105641683399046E-2</v>
      </c>
      <c r="E980" s="29">
        <f t="shared" ca="1" si="96"/>
        <v>0.16438340525365064</v>
      </c>
      <c r="F980" s="30">
        <f ca="1">'Single Simulation'!$AP$4*Results!C980</f>
        <v>148236.31088086721</v>
      </c>
      <c r="G980" s="30">
        <f ca="1">'Single Simulation'!$AP$5*Results!D980</f>
        <v>55904.999513983508</v>
      </c>
      <c r="H980" s="30">
        <f t="shared" ca="1" si="92"/>
        <v>92331.311366883703</v>
      </c>
      <c r="I980" s="30">
        <f t="shared" ca="1" si="93"/>
        <v>15177.735374023443</v>
      </c>
      <c r="J980" s="25">
        <f ca="1">'Single Simulation'!$AP$7*Results!E980</f>
        <v>2296770.5404527653</v>
      </c>
      <c r="K980" s="28" t="str">
        <f t="shared" ca="1" si="97"/>
        <v>No</v>
      </c>
    </row>
    <row r="981" spans="2:11" ht="11.25" hidden="1">
      <c r="B981" s="27">
        <v>979</v>
      </c>
      <c r="C981" s="24">
        <f t="shared" ca="1" si="94"/>
        <v>5.6142464069206414E-2</v>
      </c>
      <c r="D981" s="24">
        <f t="shared" ca="1" si="95"/>
        <v>3.6973584193161164E-2</v>
      </c>
      <c r="E981" s="24">
        <f t="shared" ca="1" si="96"/>
        <v>9.6461474985590615E-2</v>
      </c>
      <c r="F981" s="25">
        <f ca="1">'Single Simulation'!$AP$4*Results!C981</f>
        <v>106451.50486480349</v>
      </c>
      <c r="G981" s="25">
        <f ca="1">'Single Simulation'!$AP$5*Results!D981</f>
        <v>34971.419774458896</v>
      </c>
      <c r="H981" s="25">
        <f t="shared" ca="1" si="92"/>
        <v>71480.085090344597</v>
      </c>
      <c r="I981" s="25">
        <f t="shared" ca="1" si="93"/>
        <v>6895.0744399101641</v>
      </c>
      <c r="J981" s="25">
        <f ca="1">'Single Simulation'!$AP$7*Results!E981</f>
        <v>1347763.0159423021</v>
      </c>
      <c r="K981" s="28" t="str">
        <f t="shared" ca="1" si="97"/>
        <v>No</v>
      </c>
    </row>
    <row r="982" spans="2:11" ht="11.25" hidden="1">
      <c r="B982" s="27">
        <v>980</v>
      </c>
      <c r="C982" s="29">
        <f t="shared" ca="1" si="94"/>
        <v>8.5161407683590123E-2</v>
      </c>
      <c r="D982" s="29">
        <f t="shared" ca="1" si="95"/>
        <v>5.8926105258434447E-2</v>
      </c>
      <c r="E982" s="29">
        <f t="shared" ca="1" si="96"/>
        <v>0.12056243102867964</v>
      </c>
      <c r="F982" s="30">
        <f ca="1">'Single Simulation'!$AP$4*Results!C982</f>
        <v>161474.20948870637</v>
      </c>
      <c r="G982" s="30">
        <f ca="1">'Single Simulation'!$AP$5*Results!D982</f>
        <v>55735.185204138914</v>
      </c>
      <c r="H982" s="30">
        <f t="shared" ca="1" si="92"/>
        <v>105739.02428456745</v>
      </c>
      <c r="I982" s="30">
        <f t="shared" ca="1" si="93"/>
        <v>12748.153822348046</v>
      </c>
      <c r="J982" s="25">
        <f ca="1">'Single Simulation'!$AP$7*Results!E982</f>
        <v>1684502.3951460591</v>
      </c>
      <c r="K982" s="28" t="str">
        <f t="shared" ca="1" si="97"/>
        <v>No</v>
      </c>
    </row>
    <row r="983" spans="2:11" ht="11.25" hidden="1">
      <c r="B983" s="27">
        <v>981</v>
      </c>
      <c r="C983" s="24">
        <f t="shared" ca="1" si="94"/>
        <v>7.1907577802097403E-2</v>
      </c>
      <c r="D983" s="24">
        <f t="shared" ca="1" si="95"/>
        <v>3.9411487722742389E-2</v>
      </c>
      <c r="E983" s="24">
        <f t="shared" ca="1" si="96"/>
        <v>2.2836869906586163E-2</v>
      </c>
      <c r="F983" s="25">
        <f ca="1">'Single Simulation'!$AP$4*Results!C983</f>
        <v>136343.67488360236</v>
      </c>
      <c r="G983" s="25">
        <f ca="1">'Single Simulation'!$AP$5*Results!D983</f>
        <v>37277.307871680197</v>
      </c>
      <c r="H983" s="25">
        <f t="shared" ca="1" si="92"/>
        <v>99066.367011922164</v>
      </c>
      <c r="I983" s="25">
        <f t="shared" ca="1" si="93"/>
        <v>2262.3657355693854</v>
      </c>
      <c r="J983" s="25">
        <f ca="1">'Single Simulation'!$AP$7*Results!E983</f>
        <v>319077.52462400432</v>
      </c>
      <c r="K983" s="28" t="str">
        <f t="shared" ca="1" si="97"/>
        <v>No</v>
      </c>
    </row>
    <row r="984" spans="2:11" ht="11.25" hidden="1">
      <c r="B984" s="27">
        <v>982</v>
      </c>
      <c r="C984" s="29">
        <f t="shared" ca="1" si="94"/>
        <v>6.1061009381788732E-2</v>
      </c>
      <c r="D984" s="29">
        <f t="shared" ca="1" si="95"/>
        <v>3.6953039677935125E-2</v>
      </c>
      <c r="E984" s="29">
        <f t="shared" ca="1" si="96"/>
        <v>4.2237605936617399E-2</v>
      </c>
      <c r="F984" s="30">
        <f ca="1">'Single Simulation'!$AP$4*Results!C984</f>
        <v>115777.53924805913</v>
      </c>
      <c r="G984" s="30">
        <f ca="1">'Single Simulation'!$AP$5*Results!D984</f>
        <v>34951.987769644889</v>
      </c>
      <c r="H984" s="30">
        <f t="shared" ca="1" si="92"/>
        <v>80825.551478414243</v>
      </c>
      <c r="I984" s="30">
        <f t="shared" ca="1" si="93"/>
        <v>3413.8777929550447</v>
      </c>
      <c r="J984" s="25">
        <f ca="1">'Single Simulation'!$AP$7*Results!E984</f>
        <v>590145.26962003822</v>
      </c>
      <c r="K984" s="28" t="str">
        <f t="shared" ca="1" si="97"/>
        <v>No</v>
      </c>
    </row>
    <row r="985" spans="2:11" ht="11.25" hidden="1">
      <c r="B985" s="27">
        <v>983</v>
      </c>
      <c r="C985" s="24">
        <f t="shared" ca="1" si="94"/>
        <v>7.3453113185739161E-2</v>
      </c>
      <c r="D985" s="24">
        <f t="shared" ca="1" si="95"/>
        <v>5.8737400799908461E-2</v>
      </c>
      <c r="E985" s="24">
        <f t="shared" ca="1" si="96"/>
        <v>0.1194777592065816</v>
      </c>
      <c r="F985" s="25">
        <f ca="1">'Single Simulation'!$AP$4*Results!C985</f>
        <v>139274.15843358796</v>
      </c>
      <c r="G985" s="25">
        <f ca="1">'Single Simulation'!$AP$5*Results!D985</f>
        <v>55556.699320867563</v>
      </c>
      <c r="H985" s="25">
        <f t="shared" ca="1" si="92"/>
        <v>83717.459112720389</v>
      </c>
      <c r="I985" s="25">
        <f t="shared" ca="1" si="93"/>
        <v>10002.374421256447</v>
      </c>
      <c r="J985" s="25">
        <f ca="1">'Single Simulation'!$AP$7*Results!E985</f>
        <v>1669347.3234816785</v>
      </c>
      <c r="K985" s="28" t="str">
        <f t="shared" ca="1" si="97"/>
        <v>No</v>
      </c>
    </row>
    <row r="986" spans="2:11" ht="11.25" hidden="1">
      <c r="B986" s="27">
        <v>984</v>
      </c>
      <c r="C986" s="29">
        <f t="shared" ca="1" si="94"/>
        <v>7.9006624947097814E-2</v>
      </c>
      <c r="D986" s="29">
        <f t="shared" ca="1" si="95"/>
        <v>5.1254899398782298E-2</v>
      </c>
      <c r="E986" s="29">
        <f t="shared" ca="1" si="96"/>
        <v>0.10077409239652596</v>
      </c>
      <c r="F986" s="30">
        <f ca="1">'Single Simulation'!$AP$4*Results!C986</f>
        <v>149804.15019797278</v>
      </c>
      <c r="G986" s="30">
        <f ca="1">'Single Simulation'!$AP$5*Results!D986</f>
        <v>48479.384443989584</v>
      </c>
      <c r="H986" s="30">
        <f t="shared" ca="1" si="92"/>
        <v>101324.7657539832</v>
      </c>
      <c r="I986" s="30">
        <f t="shared" ca="1" si="93"/>
        <v>10210.911306148253</v>
      </c>
      <c r="J986" s="25">
        <f ca="1">'Single Simulation'!$AP$7*Results!E986</f>
        <v>1408019.0533835266</v>
      </c>
      <c r="K986" s="28" t="str">
        <f t="shared" ca="1" si="97"/>
        <v>No</v>
      </c>
    </row>
    <row r="987" spans="2:11" ht="11.25" hidden="1">
      <c r="B987" s="27">
        <v>985</v>
      </c>
      <c r="C987" s="24">
        <f t="shared" ca="1" si="94"/>
        <v>8.4343161240468645E-2</v>
      </c>
      <c r="D987" s="24">
        <f t="shared" ca="1" si="95"/>
        <v>6.8695424957742335E-2</v>
      </c>
      <c r="E987" s="24">
        <f t="shared" ca="1" si="96"/>
        <v>5.8744882320323558E-2</v>
      </c>
      <c r="F987" s="25">
        <f ca="1">'Single Simulation'!$AP$4*Results!C987</f>
        <v>159922.73563260376</v>
      </c>
      <c r="G987" s="25">
        <f ca="1">'Single Simulation'!$AP$5*Results!D987</f>
        <v>64975.484395326865</v>
      </c>
      <c r="H987" s="25">
        <f t="shared" ca="1" si="92"/>
        <v>94947.251237276883</v>
      </c>
      <c r="I987" s="25">
        <f t="shared" ca="1" si="93"/>
        <v>5577.6651005720259</v>
      </c>
      <c r="J987" s="25">
        <f ca="1">'Single Simulation'!$AP$7*Results!E987</f>
        <v>820785.49782741675</v>
      </c>
      <c r="K987" s="28" t="str">
        <f t="shared" ca="1" si="97"/>
        <v>No</v>
      </c>
    </row>
    <row r="988" spans="2:11" ht="11.25" hidden="1">
      <c r="B988" s="27">
        <v>986</v>
      </c>
      <c r="C988" s="29">
        <f t="shared" ca="1" si="94"/>
        <v>5.3605961280010744E-2</v>
      </c>
      <c r="D988" s="29">
        <f t="shared" ca="1" si="95"/>
        <v>4.4491447781754088E-2</v>
      </c>
      <c r="E988" s="29">
        <f t="shared" ca="1" si="96"/>
        <v>5.3364593592697074E-2</v>
      </c>
      <c r="F988" s="30">
        <f ca="1">'Single Simulation'!$AP$4*Results!C988</f>
        <v>101642.05192253851</v>
      </c>
      <c r="G988" s="30">
        <f ca="1">'Single Simulation'!$AP$5*Results!D988</f>
        <v>42082.181933471664</v>
      </c>
      <c r="H988" s="30">
        <f t="shared" ca="1" si="92"/>
        <v>59559.869989066843</v>
      </c>
      <c r="I988" s="30">
        <f t="shared" ca="1" si="93"/>
        <v>3178.3882564004271</v>
      </c>
      <c r="J988" s="25">
        <f ca="1">'Single Simulation'!$AP$7*Results!E988</f>
        <v>745611.92036274029</v>
      </c>
      <c r="K988" s="28" t="str">
        <f t="shared" ca="1" si="97"/>
        <v>No</v>
      </c>
    </row>
    <row r="989" spans="2:11" ht="11.25" hidden="1">
      <c r="B989" s="27">
        <v>987</v>
      </c>
      <c r="C989" s="24">
        <f t="shared" ca="1" si="94"/>
        <v>0.10606496798675741</v>
      </c>
      <c r="D989" s="24">
        <f t="shared" ca="1" si="95"/>
        <v>5.5223403085789734E-2</v>
      </c>
      <c r="E989" s="24">
        <f t="shared" ca="1" si="96"/>
        <v>1.5075931022539013E-3</v>
      </c>
      <c r="F989" s="25">
        <f ca="1">'Single Simulation'!$AP$4*Results!C989</f>
        <v>201109.36779884607</v>
      </c>
      <c r="G989" s="25">
        <f ca="1">'Single Simulation'!$AP$5*Results!D989</f>
        <v>52232.988844087078</v>
      </c>
      <c r="H989" s="25">
        <f t="shared" ca="1" si="92"/>
        <v>148876.37895475898</v>
      </c>
      <c r="I989" s="25">
        <f t="shared" ca="1" si="93"/>
        <v>224.44500200073253</v>
      </c>
      <c r="J989" s="25">
        <f ca="1">'Single Simulation'!$AP$7*Results!E989</f>
        <v>21064.142204035867</v>
      </c>
      <c r="K989" s="28" t="str">
        <f t="shared" ca="1" si="97"/>
        <v>No</v>
      </c>
    </row>
    <row r="990" spans="2:11" ht="11.25" hidden="1">
      <c r="B990" s="27">
        <v>988</v>
      </c>
      <c r="C990" s="29">
        <f t="shared" ca="1" si="94"/>
        <v>5.1448018956270186E-2</v>
      </c>
      <c r="D990" s="29">
        <f t="shared" ca="1" si="95"/>
        <v>6.8568617723332087E-2</v>
      </c>
      <c r="E990" s="29">
        <f t="shared" ca="1" si="96"/>
        <v>5.1902064687303316E-2</v>
      </c>
      <c r="F990" s="30">
        <f ca="1">'Single Simulation'!$AP$4*Results!C990</f>
        <v>97550.385986920446</v>
      </c>
      <c r="G990" s="30">
        <f ca="1">'Single Simulation'!$AP$5*Results!D990</f>
        <v>64855.543926428014</v>
      </c>
      <c r="H990" s="30">
        <f t="shared" ca="1" si="92"/>
        <v>32694.842060492432</v>
      </c>
      <c r="I990" s="30">
        <f t="shared" ca="1" si="93"/>
        <v>1696.9298075648435</v>
      </c>
      <c r="J990" s="25">
        <f ca="1">'Single Simulation'!$AP$7*Results!E990</f>
        <v>725177.41665303928</v>
      </c>
      <c r="K990" s="28" t="str">
        <f t="shared" ca="1" si="97"/>
        <v>No</v>
      </c>
    </row>
    <row r="991" spans="2:11" ht="11.25" hidden="1">
      <c r="B991" s="27">
        <v>989</v>
      </c>
      <c r="C991" s="24">
        <f t="shared" ca="1" si="94"/>
        <v>3.5611835762679261E-2</v>
      </c>
      <c r="D991" s="24">
        <f t="shared" ca="1" si="95"/>
        <v>6.2698011825348232E-2</v>
      </c>
      <c r="E991" s="24">
        <f t="shared" ca="1" si="96"/>
        <v>8.7771428704387547E-2</v>
      </c>
      <c r="F991" s="25">
        <f ca="1">'Single Simulation'!$AP$4*Results!C991</f>
        <v>67523.46144377235</v>
      </c>
      <c r="G991" s="25">
        <f ca="1">'Single Simulation'!$AP$5*Results!D991</f>
        <v>59302.838456592021</v>
      </c>
      <c r="H991" s="25">
        <f t="shared" ca="1" si="92"/>
        <v>8220.6229871803298</v>
      </c>
      <c r="I991" s="25">
        <f t="shared" ca="1" si="93"/>
        <v>721.53582442494769</v>
      </c>
      <c r="J991" s="25">
        <f ca="1">'Single Simulation'!$AP$7*Results!E991</f>
        <v>1226345.3931412618</v>
      </c>
      <c r="K991" s="28" t="str">
        <f t="shared" ca="1" si="97"/>
        <v>No</v>
      </c>
    </row>
    <row r="992" spans="2:11" ht="11.25" hidden="1">
      <c r="B992" s="27">
        <v>990</v>
      </c>
      <c r="C992" s="29">
        <f t="shared" ca="1" si="94"/>
        <v>4.8975994059491351E-2</v>
      </c>
      <c r="D992" s="29">
        <f t="shared" ca="1" si="95"/>
        <v>3.3141866238530868E-2</v>
      </c>
      <c r="E992" s="29">
        <f t="shared" ca="1" si="96"/>
        <v>9.4739753957729433E-2</v>
      </c>
      <c r="F992" s="30">
        <f ca="1">'Single Simulation'!$AP$4*Results!C992</f>
        <v>92863.189322360384</v>
      </c>
      <c r="G992" s="30">
        <f ca="1">'Single Simulation'!$AP$5*Results!D992</f>
        <v>31347.193993462184</v>
      </c>
      <c r="H992" s="30">
        <f t="shared" ca="1" si="92"/>
        <v>61515.9953288982</v>
      </c>
      <c r="I992" s="30">
        <f t="shared" ca="1" si="93"/>
        <v>5828.0102619246481</v>
      </c>
      <c r="J992" s="25">
        <f ca="1">'Single Simulation'!$AP$7*Results!E992</f>
        <v>1323707.0710641204</v>
      </c>
      <c r="K992" s="28" t="str">
        <f t="shared" ca="1" si="97"/>
        <v>No</v>
      </c>
    </row>
    <row r="993" spans="2:11" ht="11.25" hidden="1">
      <c r="B993" s="27">
        <v>991</v>
      </c>
      <c r="C993" s="24">
        <f t="shared" ca="1" si="94"/>
        <v>7.2273706196728127E-2</v>
      </c>
      <c r="D993" s="24">
        <f t="shared" ca="1" si="95"/>
        <v>7.880774624756634E-2</v>
      </c>
      <c r="E993" s="24">
        <f t="shared" ca="1" si="96"/>
        <v>6.1551797041153593E-2</v>
      </c>
      <c r="F993" s="25">
        <f ca="1">'Single Simulation'!$AP$4*Results!C993</f>
        <v>137037.88948975381</v>
      </c>
      <c r="G993" s="25">
        <f ca="1">'Single Simulation'!$AP$5*Results!D993</f>
        <v>74540.21122497636</v>
      </c>
      <c r="H993" s="25">
        <f t="shared" ca="1" si="92"/>
        <v>62497.678264777453</v>
      </c>
      <c r="I993" s="25">
        <f t="shared" ca="1" si="93"/>
        <v>3846.844408096898</v>
      </c>
      <c r="J993" s="25">
        <f ca="1">'Single Simulation'!$AP$7*Results!E993</f>
        <v>860003.80596757156</v>
      </c>
      <c r="K993" s="28" t="str">
        <f t="shared" ca="1" si="97"/>
        <v>No</v>
      </c>
    </row>
    <row r="994" spans="2:11" ht="11.25" hidden="1">
      <c r="B994" s="27">
        <v>992</v>
      </c>
      <c r="C994" s="29">
        <f t="shared" ca="1" si="94"/>
        <v>7.9577139450147272E-2</v>
      </c>
      <c r="D994" s="29">
        <f t="shared" ca="1" si="95"/>
        <v>6.8653206631908548E-2</v>
      </c>
      <c r="E994" s="29">
        <f t="shared" ca="1" si="96"/>
        <v>5.2590043078809975E-2</v>
      </c>
      <c r="F994" s="30">
        <f ca="1">'Single Simulation'!$AP$4*Results!C994</f>
        <v>150885.90049881363</v>
      </c>
      <c r="G994" s="30">
        <f ca="1">'Single Simulation'!$AP$5*Results!D994</f>
        <v>64935.55224303146</v>
      </c>
      <c r="H994" s="30">
        <f t="shared" ca="1" si="92"/>
        <v>85950.34825578217</v>
      </c>
      <c r="I994" s="30">
        <f t="shared" ca="1" si="93"/>
        <v>4520.132517410304</v>
      </c>
      <c r="J994" s="25">
        <f ca="1">'Single Simulation'!$AP$7*Results!E994</f>
        <v>734789.87418573466</v>
      </c>
      <c r="K994" s="28" t="str">
        <f t="shared" ca="1" si="97"/>
        <v>No</v>
      </c>
    </row>
    <row r="995" spans="2:11" ht="11.25" hidden="1">
      <c r="B995" s="27">
        <v>993</v>
      </c>
      <c r="C995" s="24">
        <f t="shared" ca="1" si="94"/>
        <v>5.9041028731701972E-2</v>
      </c>
      <c r="D995" s="24">
        <f t="shared" ca="1" si="95"/>
        <v>3.2183366092970692E-2</v>
      </c>
      <c r="E995" s="24">
        <f t="shared" ca="1" si="96"/>
        <v>8.2852739727609342E-2</v>
      </c>
      <c r="F995" s="25">
        <f ca="1">'Single Simulation'!$AP$4*Results!C995</f>
        <v>111947.46189815062</v>
      </c>
      <c r="G995" s="25">
        <f ca="1">'Single Simulation'!$AP$5*Results!D995</f>
        <v>30440.597793073666</v>
      </c>
      <c r="H995" s="25">
        <f t="shared" ca="1" si="92"/>
        <v>81506.864105076951</v>
      </c>
      <c r="I995" s="25">
        <f t="shared" ca="1" si="93"/>
        <v>6753.0669977115649</v>
      </c>
      <c r="J995" s="25">
        <f ca="1">'Single Simulation'!$AP$7*Results!E995</f>
        <v>1157621.3031269319</v>
      </c>
      <c r="K995" s="28" t="str">
        <f t="shared" ca="1" si="97"/>
        <v>No</v>
      </c>
    </row>
    <row r="996" spans="2:11" ht="11.25" hidden="1">
      <c r="B996" s="27">
        <v>994</v>
      </c>
      <c r="C996" s="29">
        <f t="shared" ca="1" si="94"/>
        <v>5.1710296029592449E-2</v>
      </c>
      <c r="D996" s="29">
        <f t="shared" ca="1" si="95"/>
        <v>3.808101983180763E-2</v>
      </c>
      <c r="E996" s="29">
        <f t="shared" ca="1" si="96"/>
        <v>0.17404286330595867</v>
      </c>
      <c r="F996" s="30">
        <f ca="1">'Single Simulation'!$AP$4*Results!C996</f>
        <v>98047.688512015797</v>
      </c>
      <c r="G996" s="30">
        <f ca="1">'Single Simulation'!$AP$5*Results!D996</f>
        <v>36018.886430381986</v>
      </c>
      <c r="H996" s="30">
        <f t="shared" ca="1" si="92"/>
        <v>62028.80208163381</v>
      </c>
      <c r="I996" s="30">
        <f t="shared" ca="1" si="93"/>
        <v>10795.670321726158</v>
      </c>
      <c r="J996" s="25">
        <f ca="1">'Single Simulation'!$AP$7*Results!E996</f>
        <v>2431732.8175576045</v>
      </c>
      <c r="K996" s="28" t="str">
        <f t="shared" ca="1" si="97"/>
        <v>No</v>
      </c>
    </row>
    <row r="997" spans="2:11" ht="11.25" hidden="1">
      <c r="B997" s="27">
        <v>995</v>
      </c>
      <c r="C997" s="24">
        <f t="shared" ca="1" si="94"/>
        <v>2.2583184014618826E-2</v>
      </c>
      <c r="D997" s="24">
        <f t="shared" ca="1" si="95"/>
        <v>5.4256191243787666E-2</v>
      </c>
      <c r="E997" s="24">
        <f t="shared" ca="1" si="96"/>
        <v>5.2964476125108108E-2</v>
      </c>
      <c r="F997" s="25">
        <f ca="1">'Single Simulation'!$AP$4*Results!C997</f>
        <v>42819.886210044817</v>
      </c>
      <c r="G997" s="25">
        <f ca="1">'Single Simulation'!$AP$5*Results!D997</f>
        <v>51318.152696182908</v>
      </c>
      <c r="H997" s="25">
        <f t="shared" ca="1" si="92"/>
        <v>-8498.2664861380908</v>
      </c>
      <c r="I997" s="25">
        <f t="shared" ca="1" si="93"/>
        <v>-450.10623240986729</v>
      </c>
      <c r="J997" s="25">
        <f ca="1">'Single Simulation'!$AP$7*Results!E997</f>
        <v>740021.4654694323</v>
      </c>
      <c r="K997" s="28" t="str">
        <f t="shared" ca="1" si="97"/>
        <v>No</v>
      </c>
    </row>
    <row r="998" spans="2:11" ht="11.25" hidden="1">
      <c r="B998" s="27">
        <v>996</v>
      </c>
      <c r="C998" s="29">
        <f t="shared" ca="1" si="94"/>
        <v>7.6881208317745406E-2</v>
      </c>
      <c r="D998" s="29">
        <f t="shared" ca="1" si="95"/>
        <v>5.5291276616291407E-2</v>
      </c>
      <c r="E998" s="29">
        <f t="shared" ca="1" si="96"/>
        <v>6.7630501502704041E-2</v>
      </c>
      <c r="F998" s="30">
        <f ca="1">'Single Simulation'!$AP$4*Results!C998</f>
        <v>145774.15610330069</v>
      </c>
      <c r="G998" s="30">
        <f ca="1">'Single Simulation'!$AP$5*Results!D998</f>
        <v>52297.186940607768</v>
      </c>
      <c r="H998" s="30">
        <f t="shared" ca="1" si="92"/>
        <v>93476.969162692927</v>
      </c>
      <c r="I998" s="30">
        <f t="shared" ca="1" si="93"/>
        <v>6321.8943034257236</v>
      </c>
      <c r="J998" s="25">
        <f ca="1">'Single Simulation'!$AP$7*Results!E998</f>
        <v>944935.67186890659</v>
      </c>
      <c r="K998" s="28" t="str">
        <f t="shared" ca="1" si="97"/>
        <v>No</v>
      </c>
    </row>
    <row r="999" spans="2:11" ht="11.25" hidden="1">
      <c r="B999" s="27">
        <v>997</v>
      </c>
      <c r="C999" s="24">
        <f t="shared" ca="1" si="94"/>
        <v>6.058817062223619E-2</v>
      </c>
      <c r="D999" s="24">
        <f t="shared" ca="1" si="95"/>
        <v>4.64444493923174E-2</v>
      </c>
      <c r="E999" s="24">
        <f t="shared" ca="1" si="96"/>
        <v>3.5462158750935113E-2</v>
      </c>
      <c r="F999" s="25">
        <f ca="1">'Single Simulation'!$AP$4*Results!C999</f>
        <v>114880.99153952378</v>
      </c>
      <c r="G999" s="25">
        <f ca="1">'Single Simulation'!$AP$5*Results!D999</f>
        <v>43929.426138588162</v>
      </c>
      <c r="H999" s="25">
        <f t="shared" ca="1" si="92"/>
        <v>70951.565400935622</v>
      </c>
      <c r="I999" s="25">
        <f t="shared" ca="1" si="93"/>
        <v>2516.0956758753341</v>
      </c>
      <c r="J999" s="25">
        <f ca="1">'Single Simulation'!$AP$7*Results!E999</f>
        <v>495478.4906318771</v>
      </c>
      <c r="K999" s="28" t="str">
        <f t="shared" ca="1" si="97"/>
        <v>No</v>
      </c>
    </row>
    <row r="1000" spans="2:11" ht="11.25" hidden="1">
      <c r="B1000" s="27">
        <v>998</v>
      </c>
      <c r="C1000" s="29">
        <f t="shared" ca="1" si="94"/>
        <v>4.2864242591322932E-2</v>
      </c>
      <c r="D1000" s="29">
        <f t="shared" ca="1" si="95"/>
        <v>6.0602839092963642E-2</v>
      </c>
      <c r="E1000" s="29">
        <f t="shared" ca="1" si="96"/>
        <v>0.11533371699511064</v>
      </c>
      <c r="F1000" s="30">
        <f ca="1">'Single Simulation'!$AP$4*Results!C1000</f>
        <v>81274.721449909965</v>
      </c>
      <c r="G1000" s="30">
        <f ca="1">'Single Simulation'!$AP$5*Results!D1000</f>
        <v>57321.121868299393</v>
      </c>
      <c r="H1000" s="30">
        <f t="shared" ca="1" si="92"/>
        <v>23953.599581610571</v>
      </c>
      <c r="I1000" s="30">
        <f t="shared" ca="1" si="93"/>
        <v>2762.657675159674</v>
      </c>
      <c r="J1000" s="25">
        <f ca="1">'Single Simulation'!$AP$7*Results!E1000</f>
        <v>1611446.6244724768</v>
      </c>
      <c r="K1000" s="28" t="str">
        <f t="shared" ca="1" si="97"/>
        <v>No</v>
      </c>
    </row>
    <row r="1001" spans="2:11" ht="11.25" hidden="1">
      <c r="B1001" s="27">
        <v>999</v>
      </c>
      <c r="C1001" s="24">
        <f t="shared" ca="1" si="94"/>
        <v>5.2057101038681934E-2</v>
      </c>
      <c r="D1001" s="24">
        <f t="shared" ca="1" si="95"/>
        <v>6.6028539423818505E-2</v>
      </c>
      <c r="E1001" s="24">
        <f t="shared" ca="1" si="96"/>
        <v>9.6509959273684109E-2</v>
      </c>
      <c r="F1001" s="25">
        <f ca="1">'Single Simulation'!$AP$4*Results!C1001</f>
        <v>98705.264122995723</v>
      </c>
      <c r="G1001" s="25">
        <f ca="1">'Single Simulation'!$AP$5*Results!D1001</f>
        <v>62453.013946964631</v>
      </c>
      <c r="H1001" s="25">
        <f t="shared" ca="1" si="92"/>
        <v>36252.250176031092</v>
      </c>
      <c r="I1001" s="25">
        <f t="shared" ca="1" si="93"/>
        <v>3498.7031880681684</v>
      </c>
      <c r="J1001" s="25">
        <f ca="1">'Single Simulation'!$AP$7*Results!E1001</f>
        <v>1348440.4400679073</v>
      </c>
      <c r="K1001" s="28" t="str">
        <f t="shared" ca="1" si="97"/>
        <v>No</v>
      </c>
    </row>
    <row r="1002" spans="2:11" ht="11.25" hidden="1">
      <c r="B1002" s="27">
        <v>1000</v>
      </c>
      <c r="C1002" s="24">
        <f t="shared" ca="1" si="94"/>
        <v>7.8016541138312995E-2</v>
      </c>
      <c r="D1002" s="24">
        <f t="shared" ca="1" si="95"/>
        <v>5.9755393019001533E-2</v>
      </c>
      <c r="E1002" s="24">
        <f t="shared" ca="1" si="96"/>
        <v>6.8801539196514452E-2</v>
      </c>
      <c r="F1002" s="25">
        <f ca="1">'Single Simulation'!$AP$4*Results!C1002</f>
        <v>147926.85619004501</v>
      </c>
      <c r="G1002" s="25">
        <f ca="1">'Single Simulation'!$AP$5*Results!D1002</f>
        <v>56519.56602686632</v>
      </c>
      <c r="H1002" s="25">
        <f t="shared" ca="1" si="92"/>
        <v>91407.290163178695</v>
      </c>
      <c r="I1002" s="25">
        <f t="shared" ca="1" si="93"/>
        <v>6288.9622570091087</v>
      </c>
      <c r="J1002" s="25">
        <f ca="1">'Single Simulation'!$AP$7*Results!E1002</f>
        <v>961297.45043623412</v>
      </c>
      <c r="K1002" s="28" t="str">
        <f t="shared" ca="1" si="97"/>
        <v>No</v>
      </c>
    </row>
  </sheetData>
  <conditionalFormatting sqref="B1:L1 B179:L1048576 B3:K1002">
    <cfRule type="cellIs" dxfId="2" priority="7" operator="equal">
      <formula>"Yes"</formula>
    </cfRule>
    <cfRule type="cellIs" dxfId="1" priority="8" operator="equal">
      <formula>"No"</formula>
    </cfRule>
    <cfRule type="cellIs" dxfId="0" priority="9" operator="equal">
      <formula>"Yes"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7C7E4-D688-4377-A7B2-C058C4E28B49}">
  <sheetPr codeName="Sheet9">
    <tabColor rgb="FFC00000"/>
  </sheetPr>
  <dimension ref="A1"/>
  <sheetViews>
    <sheetView showGridLines="0" showRowColHeaders="0" workbookViewId="0">
      <selection activeCell="N35" sqref="N35"/>
    </sheetView>
  </sheetViews>
  <sheetFormatPr defaultRowHeight="14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45FF0-C3C2-4A1F-9548-2C55950EB37B}">
  <sheetPr>
    <tabColor theme="7"/>
  </sheetPr>
  <dimension ref="A1"/>
  <sheetViews>
    <sheetView showGridLines="0" showRowColHeaders="0" workbookViewId="0">
      <selection activeCell="H26" sqref="H26"/>
    </sheetView>
  </sheetViews>
  <sheetFormatPr defaultRowHeight="14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Introduction</vt:lpstr>
      <vt:lpstr>Initial Assumptions</vt:lpstr>
      <vt:lpstr>Monte Carlo Parameters</vt:lpstr>
      <vt:lpstr>Simulations</vt:lpstr>
      <vt:lpstr>Single Simulation</vt:lpstr>
      <vt:lpstr>Results</vt:lpstr>
      <vt:lpstr>Chart</vt:lpstr>
      <vt:lpstr>Conculsion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Gift Xipu</dc:creator>
  <cp:lastModifiedBy>Student</cp:lastModifiedBy>
  <dcterms:created xsi:type="dcterms:W3CDTF">2025-08-14T06:37:50Z</dcterms:created>
  <dcterms:modified xsi:type="dcterms:W3CDTF">2025-08-15T16:09:52Z</dcterms:modified>
</cp:coreProperties>
</file>