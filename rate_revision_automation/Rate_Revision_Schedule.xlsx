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 Revision Schedule" sheetId="1" state="visible" r:id="rId3"/>
  </sheets>
  <definedNames>
    <definedName function="false" hidden="false" localSheetId="0" name="_xlnm.Print_Titles" vbProcedure="false">'Rate Revision Schedule'!$5:$5</definedName>
    <definedName function="false" hidden="true" localSheetId="0" name="_xlnm._FilterDatabase" vbProcedure="false">'Rate Revision Schedule'!$A$5:$J$105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<sst xmlns="http://schemas.openxmlformats.org/spreadsheetml/2006/main" count="778" uniqueCount="260">
  <si>
    <t xml:space="preserve">RATE REVISION SCHEDULE</t>
  </si>
  <si>
    <t xml:space="preserve">Client Pricing &amp; Notification Tracker   |   Generated 02 August 2026   |   Confidential – Internal Use Only</t>
  </si>
  <si>
    <t xml:space="preserve">How to use this schedule:  Cream cells are the two inputs to complete per client – Price Level and Rate Increase Month.  Notification Due Date is calculated automatically as 3 months before the increase month; sales staff must notify their client by this date.  Update the Sent columns as each step is completed.</t>
  </si>
  <si>
    <t xml:space="preserve">Price Level</t>
  </si>
  <si>
    <t xml:space="preserve">Region</t>
  </si>
  <si>
    <t xml:space="preserve">Client Name</t>
  </si>
  <si>
    <t xml:space="preserve">Sales Person</t>
  </si>
  <si>
    <t xml:space="preserve">Sales Person Email</t>
  </si>
  <si>
    <t xml:space="preserve">Rate Increase Month</t>
  </si>
  <si>
    <t xml:space="preserve">Notification Due Date</t>
  </si>
  <si>
    <t xml:space="preserve">Price Schedule Sent</t>
  </si>
  <si>
    <t xml:space="preserve">Price Letter Sent</t>
  </si>
  <si>
    <t xml:space="preserve">Comments</t>
  </si>
  <si>
    <t xml:space="preserve">JHB2824</t>
  </si>
  <si>
    <t xml:space="preserve">Johannesburg</t>
  </si>
  <si>
    <t xml:space="preserve">Thaba Beverages (Pty) Ltd</t>
  </si>
  <si>
    <t xml:space="preserve">Thabo Nkosi</t>
  </si>
  <si>
    <t xml:space="preserve">thabo.nkosi@company.co.za</t>
  </si>
  <si>
    <t xml:space="preserve">Yes</t>
  </si>
  <si>
    <t xml:space="preserve">CPT2679</t>
  </si>
  <si>
    <t xml:space="preserve">Cape Town</t>
  </si>
  <si>
    <t xml:space="preserve">Garden Route Beverages (Pty) Ltd</t>
  </si>
  <si>
    <t xml:space="preserve">Sipho Botha</t>
  </si>
  <si>
    <t xml:space="preserve">sipho.botha@company.co.za</t>
  </si>
  <si>
    <t xml:space="preserve">Pending</t>
  </si>
  <si>
    <t xml:space="preserve">No</t>
  </si>
  <si>
    <t xml:space="preserve">DBN1488</t>
  </si>
  <si>
    <t xml:space="preserve">Durban</t>
  </si>
  <si>
    <t xml:space="preserve">Highveld Supplies (Pty) Ltd</t>
  </si>
  <si>
    <t xml:space="preserve">Naledi Khumalo</t>
  </si>
  <si>
    <t xml:space="preserve">naledi.khumalo@company.co.za</t>
  </si>
  <si>
    <t xml:space="preserve">PTA9928</t>
  </si>
  <si>
    <t xml:space="preserve">Pretoria</t>
  </si>
  <si>
    <t xml:space="preserve">Kalahari Engineering (Pty) Ltd</t>
  </si>
  <si>
    <t xml:space="preserve">Johan Erasmus</t>
  </si>
  <si>
    <t xml:space="preserve">johan.erasmus@company.co.za</t>
  </si>
  <si>
    <t xml:space="preserve">PE7924</t>
  </si>
  <si>
    <t xml:space="preserve">Gqeberha (PE)</t>
  </si>
  <si>
    <t xml:space="preserve">Golden Foods (Pty) Ltd</t>
  </si>
  <si>
    <t xml:space="preserve">Anele Zulu</t>
  </si>
  <si>
    <t xml:space="preserve">anele.zulu@company.co.za</t>
  </si>
  <si>
    <t xml:space="preserve">BFN7224</t>
  </si>
  <si>
    <t xml:space="preserve">Bloemfontein</t>
  </si>
  <si>
    <t xml:space="preserve">Vaal Chemicals (Pty) Ltd</t>
  </si>
  <si>
    <t xml:space="preserve">Pieter Fourie</t>
  </si>
  <si>
    <t xml:space="preserve">pieter.fourie@company.co.za</t>
  </si>
  <si>
    <t xml:space="preserve">New agreement being finalised</t>
  </si>
  <si>
    <t xml:space="preserve">NAT9785</t>
  </si>
  <si>
    <t xml:space="preserve">National</t>
  </si>
  <si>
    <t xml:space="preserve">Vaal Foods Group (Pty) Ltd</t>
  </si>
  <si>
    <t xml:space="preserve">Zanele Molefe</t>
  </si>
  <si>
    <t xml:space="preserve">zanele.molefe@company.co.za</t>
  </si>
  <si>
    <t xml:space="preserve">Price freeze agreed until next cycle - flag before sending</t>
  </si>
  <si>
    <t xml:space="preserve">JHB6925</t>
  </si>
  <si>
    <t xml:space="preserve">Nguni Supplies (Pty) Ltd</t>
  </si>
  <si>
    <t xml:space="preserve">Riaan van der Merwe</t>
  </si>
  <si>
    <t xml:space="preserve">riaan.vandermerwe@company.co.za</t>
  </si>
  <si>
    <t xml:space="preserve">Client on retention discount</t>
  </si>
  <si>
    <t xml:space="preserve">CPT5741</t>
  </si>
  <si>
    <t xml:space="preserve">Highveld Agencies (Pty) Ltd</t>
  </si>
  <si>
    <t xml:space="preserve">Nomvula Mokoena</t>
  </si>
  <si>
    <t xml:space="preserve">nomvula.mokoena@company.co.za</t>
  </si>
  <si>
    <t xml:space="preserve">DBN6977</t>
  </si>
  <si>
    <t xml:space="preserve">Sandton Chemicals (Pty) Ltd</t>
  </si>
  <si>
    <t xml:space="preserve">Werner Steyn</t>
  </si>
  <si>
    <t xml:space="preserve">werner.steyn@company.co.za</t>
  </si>
  <si>
    <t xml:space="preserve">PTA2169</t>
  </si>
  <si>
    <t xml:space="preserve">Kruger Motors (Pty) Ltd</t>
  </si>
  <si>
    <t xml:space="preserve">Lerato Sithole</t>
  </si>
  <si>
    <t xml:space="preserve">lerato.sithole@company.co.za</t>
  </si>
  <si>
    <t xml:space="preserve">Long-standing client, handle with care</t>
  </si>
  <si>
    <t xml:space="preserve">PE5422</t>
  </si>
  <si>
    <t xml:space="preserve">Tugela Motors (Pty) Ltd</t>
  </si>
  <si>
    <t xml:space="preserve">Andre Kruger</t>
  </si>
  <si>
    <t xml:space="preserve">andre.kruger@company.co.za</t>
  </si>
  <si>
    <t xml:space="preserve">BFN1916</t>
  </si>
  <si>
    <t xml:space="preserve">Drakensberg Pharma (Pty) Ltd</t>
  </si>
  <si>
    <t xml:space="preserve">Bongani Mabaso</t>
  </si>
  <si>
    <t xml:space="preserve">bongani.mabaso@company.co.za</t>
  </si>
  <si>
    <t xml:space="preserve">NAT4456</t>
  </si>
  <si>
    <t xml:space="preserve">Tugela Enterprises (Pty) Ltd</t>
  </si>
  <si>
    <t xml:space="preserve">Chantelle Coetzee</t>
  </si>
  <si>
    <t xml:space="preserve">chantelle.coetzee@company.co.za</t>
  </si>
  <si>
    <t xml:space="preserve">JHB7482</t>
  </si>
  <si>
    <t xml:space="preserve">Namaqua Foods Group (Pty) Ltd</t>
  </si>
  <si>
    <t xml:space="preserve">CPT5040</t>
  </si>
  <si>
    <t xml:space="preserve">Springbok Wholesalers (Pty) Ltd</t>
  </si>
  <si>
    <t xml:space="preserve">DBN7543</t>
  </si>
  <si>
    <t xml:space="preserve">Baobab Engineering (Pty) Ltd</t>
  </si>
  <si>
    <t xml:space="preserve">PTA2796</t>
  </si>
  <si>
    <t xml:space="preserve">Umlazi Motors (Pty) Ltd</t>
  </si>
  <si>
    <t xml:space="preserve">PE7252</t>
  </si>
  <si>
    <t xml:space="preserve">Kruger Agri Co (Pty) Ltd</t>
  </si>
  <si>
    <t xml:space="preserve">Client requested call before letter goes out</t>
  </si>
  <si>
    <t xml:space="preserve">BFN2876</t>
  </si>
  <si>
    <t xml:space="preserve">Garden Route Freight (Pty) Ltd</t>
  </si>
  <si>
    <t xml:space="preserve">NAT5808</t>
  </si>
  <si>
    <t xml:space="preserve">Kalahari Trading (Pty) Ltd</t>
  </si>
  <si>
    <t xml:space="preserve">Awaiting client sign-off on new agreement</t>
  </si>
  <si>
    <t xml:space="preserve">JHB9201</t>
  </si>
  <si>
    <t xml:space="preserve">Lowveld Trading (Pty) Ltd</t>
  </si>
  <si>
    <t xml:space="preserve">CPT9317</t>
  </si>
  <si>
    <t xml:space="preserve">Kruger Supplies (Pty) Ltd</t>
  </si>
  <si>
    <t xml:space="preserve">DBN9689</t>
  </si>
  <si>
    <t xml:space="preserve">Tugela Logistics (Pty) Ltd</t>
  </si>
  <si>
    <t xml:space="preserve">PTA6947</t>
  </si>
  <si>
    <t xml:space="preserve">Namaqua Pharma (Pty) Ltd</t>
  </si>
  <si>
    <t xml:space="preserve">Confirm volume rebate before sending</t>
  </si>
  <si>
    <t xml:space="preserve">PE2290</t>
  </si>
  <si>
    <t xml:space="preserve">Highveld Beverages (Pty) Ltd</t>
  </si>
  <si>
    <t xml:space="preserve">BFN8787</t>
  </si>
  <si>
    <t xml:space="preserve">Marula Trading (Pty) Ltd</t>
  </si>
  <si>
    <t xml:space="preserve">NAT4295</t>
  </si>
  <si>
    <t xml:space="preserve">Midlands Retail Group (Pty) Ltd</t>
  </si>
  <si>
    <t xml:space="preserve">JHB2982</t>
  </si>
  <si>
    <t xml:space="preserve">Drakensberg Engineering (Pty) Ltd</t>
  </si>
  <si>
    <t xml:space="preserve">National rate applies across all branches</t>
  </si>
  <si>
    <t xml:space="preserve">CPT4770</t>
  </si>
  <si>
    <t xml:space="preserve">Nguni Engineering (Pty) Ltd</t>
  </si>
  <si>
    <t xml:space="preserve">DBN4750</t>
  </si>
  <si>
    <t xml:space="preserve">Highveld Freight (Pty) Ltd</t>
  </si>
  <si>
    <t xml:space="preserve">PTA5562</t>
  </si>
  <si>
    <t xml:space="preserve">Garden Route Mining Services (Pty) Ltd</t>
  </si>
  <si>
    <t xml:space="preserve">PE8744</t>
  </si>
  <si>
    <t xml:space="preserve">Drakensberg Electrical (Pty) Ltd</t>
  </si>
  <si>
    <t xml:space="preserve">BFN8062</t>
  </si>
  <si>
    <t xml:space="preserve">Baobab Packaging (Pty) Ltd</t>
  </si>
  <si>
    <t xml:space="preserve">NAT2612</t>
  </si>
  <si>
    <t xml:space="preserve">Karoo Plastics (Pty) Ltd</t>
  </si>
  <si>
    <t xml:space="preserve">JHB4116</t>
  </si>
  <si>
    <t xml:space="preserve">Marula Agri Co (Pty) Ltd</t>
  </si>
  <si>
    <t xml:space="preserve">CPT5092</t>
  </si>
  <si>
    <t xml:space="preserve">Overberg Foods Group (Pty) Ltd</t>
  </si>
  <si>
    <t xml:space="preserve">DBN9856</t>
  </si>
  <si>
    <t xml:space="preserve">Boland Logistics (Pty) Ltd</t>
  </si>
  <si>
    <t xml:space="preserve">PTA8886</t>
  </si>
  <si>
    <t xml:space="preserve">Rustenburg Agencies (Pty) Ltd</t>
  </si>
  <si>
    <t xml:space="preserve">PE7396</t>
  </si>
  <si>
    <t xml:space="preserve">Zulu Foods Group (Pty) Ltd</t>
  </si>
  <si>
    <t xml:space="preserve">BFN8973</t>
  </si>
  <si>
    <t xml:space="preserve">Umlazi Supplies (Pty) Ltd</t>
  </si>
  <si>
    <t xml:space="preserve">NAT9883</t>
  </si>
  <si>
    <t xml:space="preserve">Karoo Beverages (Pty) Ltd</t>
  </si>
  <si>
    <t xml:space="preserve">JHB9238</t>
  </si>
  <si>
    <t xml:space="preserve">Tugela Agencies (Pty) Ltd</t>
  </si>
  <si>
    <t xml:space="preserve">CPT4044</t>
  </si>
  <si>
    <t xml:space="preserve">Highveld Textiles (Pty) Ltd</t>
  </si>
  <si>
    <t xml:space="preserve">DBN5033</t>
  </si>
  <si>
    <t xml:space="preserve">Nguni Textiles (Pty) Ltd</t>
  </si>
  <si>
    <t xml:space="preserve">PTA9565</t>
  </si>
  <si>
    <t xml:space="preserve">Golden Foods Group (Pty) Ltd</t>
  </si>
  <si>
    <t xml:space="preserve">Escalated - client disputing increase</t>
  </si>
  <si>
    <t xml:space="preserve">PE4910</t>
  </si>
  <si>
    <t xml:space="preserve">Zulu Plastics (Pty) Ltd</t>
  </si>
  <si>
    <t xml:space="preserve">BFN2188</t>
  </si>
  <si>
    <t xml:space="preserve">Thaba Agri Co (Pty) Ltd</t>
  </si>
  <si>
    <t xml:space="preserve">NAT9288</t>
  </si>
  <si>
    <t xml:space="preserve">Zulu Industries (Pty) Ltd</t>
  </si>
  <si>
    <t xml:space="preserve">JHB3584</t>
  </si>
  <si>
    <t xml:space="preserve">Amatola Pharma (Pty) Ltd</t>
  </si>
  <si>
    <t xml:space="preserve">CPT1128</t>
  </si>
  <si>
    <t xml:space="preserve">Garden Route Pharma (Pty) Ltd</t>
  </si>
  <si>
    <t xml:space="preserve">DBN5333</t>
  </si>
  <si>
    <t xml:space="preserve">Vaal Freight (Pty) Ltd</t>
  </si>
  <si>
    <t xml:space="preserve">PTA4450</t>
  </si>
  <si>
    <t xml:space="preserve">Midlands Construction (Pty) Ltd</t>
  </si>
  <si>
    <t xml:space="preserve">PE1832</t>
  </si>
  <si>
    <t xml:space="preserve">Highveld Motors (Pty) Ltd</t>
  </si>
  <si>
    <t xml:space="preserve">BFN3143</t>
  </si>
  <si>
    <t xml:space="preserve">Table Mountain Foods (Pty) Ltd</t>
  </si>
  <si>
    <t xml:space="preserve">NAT1158</t>
  </si>
  <si>
    <t xml:space="preserve">Vaal Distributors (Pty) Ltd</t>
  </si>
  <si>
    <t xml:space="preserve">JHB7049</t>
  </si>
  <si>
    <t xml:space="preserve">Nguni Wholesalers (Pty) Ltd</t>
  </si>
  <si>
    <t xml:space="preserve">CPT6974</t>
  </si>
  <si>
    <t xml:space="preserve">Rand Agencies (Pty) Ltd</t>
  </si>
  <si>
    <t xml:space="preserve">DBN2684</t>
  </si>
  <si>
    <t xml:space="preserve">Baobab Steel (Pty) Ltd</t>
  </si>
  <si>
    <t xml:space="preserve">PTA4878</t>
  </si>
  <si>
    <t xml:space="preserve">Overberg Trading (Pty) Ltd</t>
  </si>
  <si>
    <t xml:space="preserve">PE6442</t>
  </si>
  <si>
    <t xml:space="preserve">Rand Foods Group (Pty) Ltd</t>
  </si>
  <si>
    <t xml:space="preserve">BFN2771</t>
  </si>
  <si>
    <t xml:space="preserve">Protea Agencies (Pty) Ltd</t>
  </si>
  <si>
    <t xml:space="preserve">NAT8541</t>
  </si>
  <si>
    <t xml:space="preserve">Baobab Retail Group (Pty) Ltd</t>
  </si>
  <si>
    <t xml:space="preserve">JHB7528</t>
  </si>
  <si>
    <t xml:space="preserve">Overberg Distributors (Pty) Ltd</t>
  </si>
  <si>
    <t xml:space="preserve">CPT9785</t>
  </si>
  <si>
    <t xml:space="preserve">Golden Logistics (Pty) Ltd</t>
  </si>
  <si>
    <t xml:space="preserve">DBN1626</t>
  </si>
  <si>
    <t xml:space="preserve">Vaal Textiles (Pty) Ltd</t>
  </si>
  <si>
    <t xml:space="preserve">PTA9379</t>
  </si>
  <si>
    <t xml:space="preserve">Vaal Plastics (Pty) Ltd</t>
  </si>
  <si>
    <t xml:space="preserve">PE8144</t>
  </si>
  <si>
    <t xml:space="preserve">Thaba Transport (Pty) Ltd</t>
  </si>
  <si>
    <t xml:space="preserve">BFN6409</t>
  </si>
  <si>
    <t xml:space="preserve">Kruger Construction (Pty) Ltd</t>
  </si>
  <si>
    <t xml:space="preserve">NAT6067</t>
  </si>
  <si>
    <t xml:space="preserve">Garden Route Packaging (Pty) Ltd</t>
  </si>
  <si>
    <t xml:space="preserve">JHB3085</t>
  </si>
  <si>
    <t xml:space="preserve">Rustenburg Packaging (Pty) Ltd</t>
  </si>
  <si>
    <t xml:space="preserve">CPT5930</t>
  </si>
  <si>
    <t xml:space="preserve">Protea Wholesalers (Pty) Ltd</t>
  </si>
  <si>
    <t xml:space="preserve">DBN6279</t>
  </si>
  <si>
    <t xml:space="preserve">Amatola Agri Co (Pty) Ltd</t>
  </si>
  <si>
    <t xml:space="preserve">PTA3780</t>
  </si>
  <si>
    <t xml:space="preserve">Garden Route Distributors (Pty) Ltd</t>
  </si>
  <si>
    <t xml:space="preserve">PE6085</t>
  </si>
  <si>
    <t xml:space="preserve">Rustenburg Industries (Pty) Ltd</t>
  </si>
  <si>
    <t xml:space="preserve">BFN2193</t>
  </si>
  <si>
    <t xml:space="preserve">Amatola Packaging (Pty) Ltd</t>
  </si>
  <si>
    <t xml:space="preserve">NAT9099</t>
  </si>
  <si>
    <t xml:space="preserve">Protea Engineering (Pty) Ltd</t>
  </si>
  <si>
    <t xml:space="preserve">JHB3881</t>
  </si>
  <si>
    <t xml:space="preserve">Rand Fuels (Pty) Ltd</t>
  </si>
  <si>
    <t xml:space="preserve">CPT2988</t>
  </si>
  <si>
    <t xml:space="preserve">Amatola Industries (Pty) Ltd</t>
  </si>
  <si>
    <t xml:space="preserve">DBN9270</t>
  </si>
  <si>
    <t xml:space="preserve">Kalahari Pharma (Pty) Ltd</t>
  </si>
  <si>
    <t xml:space="preserve">PTA8777</t>
  </si>
  <si>
    <t xml:space="preserve">Amatola Foods (Pty) Ltd</t>
  </si>
  <si>
    <t xml:space="preserve">PE4919</t>
  </si>
  <si>
    <t xml:space="preserve">Zulu Agri Co (Pty) Ltd</t>
  </si>
  <si>
    <t xml:space="preserve">BFN6238</t>
  </si>
  <si>
    <t xml:space="preserve">Namaqua Wholesalers (Pty) Ltd</t>
  </si>
  <si>
    <t xml:space="preserve">NAT3503</t>
  </si>
  <si>
    <t xml:space="preserve">Midlands Supplies (Pty) Ltd</t>
  </si>
  <si>
    <t xml:space="preserve">JHB8633</t>
  </si>
  <si>
    <t xml:space="preserve">Kalahari Manufacturing (Pty) Ltd</t>
  </si>
  <si>
    <t xml:space="preserve">CPT1320</t>
  </si>
  <si>
    <t xml:space="preserve">Overberg Freight (Pty) Ltd</t>
  </si>
  <si>
    <t xml:space="preserve">DBN5892</t>
  </si>
  <si>
    <t xml:space="preserve">Lowveld Plastics (Pty) Ltd</t>
  </si>
  <si>
    <t xml:space="preserve">PTA8140</t>
  </si>
  <si>
    <t xml:space="preserve">Waterberg Logistics (Pty) Ltd</t>
  </si>
  <si>
    <t xml:space="preserve">PE7624</t>
  </si>
  <si>
    <t xml:space="preserve">Springbok Trading (Pty) Ltd</t>
  </si>
  <si>
    <t xml:space="preserve">BFN7455</t>
  </si>
  <si>
    <t xml:space="preserve">Nguni Enterprises (Pty) Ltd</t>
  </si>
  <si>
    <t xml:space="preserve">NAT3223</t>
  </si>
  <si>
    <t xml:space="preserve">Overberg Agri Co (Pty) Ltd</t>
  </si>
  <si>
    <t xml:space="preserve">JHB4467</t>
  </si>
  <si>
    <t xml:space="preserve">Amatola Construction (Pty) Ltd</t>
  </si>
  <si>
    <t xml:space="preserve">CPT2341</t>
  </si>
  <si>
    <t xml:space="preserve">Karoo Chemicals (Pty) Ltd</t>
  </si>
  <si>
    <t xml:space="preserve">DBN1508</t>
  </si>
  <si>
    <t xml:space="preserve">Drakensberg Supplies (Pty) Ltd</t>
  </si>
  <si>
    <t xml:space="preserve">PTA2874</t>
  </si>
  <si>
    <t xml:space="preserve">Amatola Fuels (Pty) Ltd</t>
  </si>
  <si>
    <t xml:space="preserve">PE2876</t>
  </si>
  <si>
    <t xml:space="preserve">Lowveld Pharma (Pty) Ltd</t>
  </si>
  <si>
    <t xml:space="preserve">BFN6111</t>
  </si>
  <si>
    <t xml:space="preserve">Nguni Hardware (Pty) Ltd</t>
  </si>
  <si>
    <t xml:space="preserve">NAT4978</t>
  </si>
  <si>
    <t xml:space="preserve">Vaal Fuels (Pty) Ltd</t>
  </si>
  <si>
    <t xml:space="preserve">JHB9728</t>
  </si>
  <si>
    <t xml:space="preserve">Kalahari Hardware (Pty) Ltd</t>
  </si>
  <si>
    <t xml:space="preserve">CPT1207</t>
  </si>
  <si>
    <t xml:space="preserve">Overberg Packaging (Pty) Ltd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</si>
</sst>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m\ yyyy"/>
    <numFmt numFmtId="166" formatCode="dd\ mmmm\ 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.5"/>
      <color rgb="FF262626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262626"/>
      <name val="Arial"/>
      <family val="0"/>
      <charset val="1"/>
    </font>
    <font>
      <sz val="10"/>
      <color rgb="FF26262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FF6DC"/>
      </patternFill>
    </fill>
    <fill>
      <patternFill patternType="solid">
        <fgColor rgb="FFFFF6DC"/>
        <bgColor rgb="FFF2F2F2"/>
      </patternFill>
    </fill>
    <fill>
      <patternFill patternType="solid">
        <fgColor rgb="FFFFFFFF"/>
        <bgColor rgb="FFF2F2F2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thin">
        <color rgb="FF1F3864"/>
      </right>
      <top style="medium">
        <color rgb="FF1F3864"/>
      </top>
      <bottom style="medium">
        <color rgb="FFBF9000"/>
      </bottom>
      <diagonal/>
    </border>
    <border diagonalUp="false" diagonalDown="false">
      <left style="thin">
        <color rgb="FF1F3864"/>
      </left>
      <right style="thin">
        <color rgb="FF1F3864"/>
      </right>
      <top style="medium">
        <color rgb="FF1F3864"/>
      </top>
      <bottom style="medium">
        <color rgb="FFBF9000"/>
      </bottom>
      <diagonal/>
    </border>
    <border diagonalUp="false" diagonalDown="false">
      <left style="thin">
        <color rgb="FF1F3864"/>
      </left>
      <right style="medium">
        <color rgb="FF1F3864"/>
      </right>
      <top style="medium">
        <color rgb="FF1F3864"/>
      </top>
      <bottom style="medium">
        <color rgb="FFBF9000"/>
      </bottom>
      <diagonal/>
    </border>
    <border diagonalUp="false" diagonalDown="false">
      <left style="medium">
        <color rgb="FF1F38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medium">
        <color rgb="FF1F3864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1F3864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 diagonalUp="false" diagonalDown="false">
      <left style="thin">
        <color rgb="FFD9D9D9"/>
      </left>
      <right style="medium">
        <color rgb="FF1F3864"/>
      </right>
      <top style="thin">
        <color rgb="FFD9D9D9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6DC"/>
          <bgColor rgb="FF000000"/>
        </patternFill>
      </fill>
    </dxf>
    <dxf>
      <fill>
        <patternFill patternType="solid">
          <fgColor rgb="FF2626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B0000"/>
          <bgColor rgb="FF000000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  <dxf>
      <font>
        <name val="Arial"/>
        <charset val="1"/>
        <family val="0"/>
        <b val="1"/>
        <color rgb="FF8B000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F6000"/>
      <rgbColor rgb="FF800080"/>
      <rgbColor rgb="FF008080"/>
      <rgbColor rgb="FFC6E0B4"/>
      <rgbColor rgb="FF808080"/>
      <rgbColor rgb="FF9999FF"/>
      <rgbColor rgb="FF993366"/>
      <rgbColor rgb="FFFFF6D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2E5395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19"/>
    <col collapsed="false" customWidth="true" hidden="false" outlineLevel="0" max="7" min="7" style="0" width="20"/>
    <col collapsed="false" customWidth="true" hidden="false" outlineLevel="0" max="9" min="8" style="0" width="17"/>
    <col collapsed="false" customWidth="true" hidden="false" outlineLevel="0" max="10" min="10" style="0" width="4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</row>
    <row r="5" customFormat="false" ht="33.75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</row>
    <row r="6" customFormat="false" ht="18" hidden="false" customHeight="true" outlineLevel="0" collapsed="false">
      <c r="A6" s="7" t="s">
        <v>13</v>
      </c>
      <c r="B6" s="8" t="s">
        <v>14</v>
      </c>
      <c r="C6" s="9" t="s">
        <v>15</v>
      </c>
      <c r="D6" s="9" t="s">
        <v>16</v>
      </c>
      <c r="E6" s="9" t="s">
        <v>17</v>
      </c>
      <c r="F6" s="10" t="n">
        <v>46143</v>
      </c>
      <c r="G6" s="11" t="n">
        <f aca="false">EDATE(F6,-3)</f>
        <v>46054</v>
      </c>
      <c r="H6" s="8" t="s">
        <v>18</v>
      </c>
      <c r="I6" s="8" t="s">
        <v>18</v>
      </c>
      <c r="J6" s="12"/>
    </row>
    <row r="7" customFormat="false" ht="18" hidden="false" customHeight="true" outlineLevel="0" collapsed="false">
      <c r="A7" s="7" t="s">
        <v>19</v>
      </c>
      <c r="B7" s="13" t="s">
        <v>20</v>
      </c>
      <c r="C7" s="14" t="s">
        <v>21</v>
      </c>
      <c r="D7" s="14" t="s">
        <v>22</v>
      </c>
      <c r="E7" s="14" t="s">
        <v>23</v>
      </c>
      <c r="F7" s="10" t="n">
        <v>46266</v>
      </c>
      <c r="G7" s="15" t="n">
        <f aca="false">EDATE(F7,-3)</f>
        <v>46174</v>
      </c>
      <c r="H7" s="13" t="s">
        <v>24</v>
      </c>
      <c r="I7" s="13" t="s">
        <v>25</v>
      </c>
      <c r="J7" s="16"/>
    </row>
    <row r="8" customFormat="false" ht="18" hidden="false" customHeight="true" outlineLevel="0" collapsed="false">
      <c r="A8" s="7" t="s">
        <v>26</v>
      </c>
      <c r="B8" s="8" t="s">
        <v>27</v>
      </c>
      <c r="C8" s="9" t="s">
        <v>28</v>
      </c>
      <c r="D8" s="9" t="s">
        <v>29</v>
      </c>
      <c r="E8" s="9" t="s">
        <v>30</v>
      </c>
      <c r="F8" s="10" t="n">
        <v>46113</v>
      </c>
      <c r="G8" s="11" t="n">
        <f aca="false">EDATE(F8,-3)</f>
        <v>46023</v>
      </c>
      <c r="H8" s="8" t="s">
        <v>24</v>
      </c>
      <c r="I8" s="8" t="s">
        <v>18</v>
      </c>
      <c r="J8" s="12"/>
    </row>
    <row r="9" customFormat="false" ht="18" hidden="false" customHeight="true" outlineLevel="0" collapsed="false">
      <c r="A9" s="7" t="s">
        <v>31</v>
      </c>
      <c r="B9" s="13" t="s">
        <v>32</v>
      </c>
      <c r="C9" s="14" t="s">
        <v>33</v>
      </c>
      <c r="D9" s="14" t="s">
        <v>34</v>
      </c>
      <c r="E9" s="14" t="s">
        <v>35</v>
      </c>
      <c r="F9" s="10" t="n">
        <v>46600</v>
      </c>
      <c r="G9" s="15" t="n">
        <f aca="false">EDATE(F9,-3)</f>
        <v>46508</v>
      </c>
      <c r="H9" s="13" t="s">
        <v>18</v>
      </c>
      <c r="I9" s="13" t="s">
        <v>18</v>
      </c>
      <c r="J9" s="16"/>
    </row>
    <row r="10" customFormat="false" ht="18" hidden="false" customHeight="true" outlineLevel="0" collapsed="false">
      <c r="A10" s="7" t="s">
        <v>36</v>
      </c>
      <c r="B10" s="8" t="s">
        <v>37</v>
      </c>
      <c r="C10" s="9" t="s">
        <v>38</v>
      </c>
      <c r="D10" s="9" t="s">
        <v>39</v>
      </c>
      <c r="E10" s="9" t="s">
        <v>40</v>
      </c>
      <c r="F10" s="10" t="n">
        <v>46082</v>
      </c>
      <c r="G10" s="11" t="n">
        <f aca="false">EDATE(F10,-3)</f>
        <v>45992</v>
      </c>
      <c r="H10" s="8" t="s">
        <v>25</v>
      </c>
      <c r="I10" s="8" t="s">
        <v>18</v>
      </c>
      <c r="J10" s="12"/>
    </row>
    <row r="11" customFormat="false" ht="18" hidden="false" customHeight="true" outlineLevel="0" collapsed="false">
      <c r="A11" s="7" t="s">
        <v>41</v>
      </c>
      <c r="B11" s="13" t="s">
        <v>42</v>
      </c>
      <c r="C11" s="14" t="s">
        <v>43</v>
      </c>
      <c r="D11" s="14" t="s">
        <v>44</v>
      </c>
      <c r="E11" s="14" t="s">
        <v>45</v>
      </c>
      <c r="F11" s="10" t="n">
        <v>46539</v>
      </c>
      <c r="G11" s="15" t="n">
        <f aca="false">EDATE(F11,-3)</f>
        <v>46447</v>
      </c>
      <c r="H11" s="13" t="s">
        <v>18</v>
      </c>
      <c r="I11" s="13" t="s">
        <v>24</v>
      </c>
      <c r="J11" s="16" t="s">
        <v>46</v>
      </c>
    </row>
    <row r="12" customFormat="false" ht="18" hidden="false" customHeight="true" outlineLevel="0" collapsed="false">
      <c r="A12" s="7" t="s">
        <v>47</v>
      </c>
      <c r="B12" s="8" t="s">
        <v>48</v>
      </c>
      <c r="C12" s="9" t="s">
        <v>49</v>
      </c>
      <c r="D12" s="9" t="s">
        <v>50</v>
      </c>
      <c r="E12" s="9" t="s">
        <v>51</v>
      </c>
      <c r="F12" s="10" t="n">
        <v>46204</v>
      </c>
      <c r="G12" s="11" t="n">
        <f aca="false">EDATE(F12,-3)</f>
        <v>46113</v>
      </c>
      <c r="H12" s="8" t="s">
        <v>24</v>
      </c>
      <c r="I12" s="8" t="s">
        <v>25</v>
      </c>
      <c r="J12" s="12" t="s">
        <v>52</v>
      </c>
    </row>
    <row r="13" customFormat="false" ht="18" hidden="false" customHeight="true" outlineLevel="0" collapsed="false">
      <c r="A13" s="7" t="s">
        <v>53</v>
      </c>
      <c r="B13" s="13" t="s">
        <v>14</v>
      </c>
      <c r="C13" s="14" t="s">
        <v>54</v>
      </c>
      <c r="D13" s="14" t="s">
        <v>55</v>
      </c>
      <c r="E13" s="14" t="s">
        <v>56</v>
      </c>
      <c r="F13" s="10" t="n">
        <v>46357</v>
      </c>
      <c r="G13" s="15" t="n">
        <f aca="false">EDATE(F13,-3)</f>
        <v>46266</v>
      </c>
      <c r="H13" s="13" t="s">
        <v>18</v>
      </c>
      <c r="I13" s="13" t="s">
        <v>24</v>
      </c>
      <c r="J13" s="16" t="s">
        <v>57</v>
      </c>
    </row>
    <row r="14" customFormat="false" ht="18" hidden="false" customHeight="true" outlineLevel="0" collapsed="false">
      <c r="A14" s="7" t="s">
        <v>58</v>
      </c>
      <c r="B14" s="8" t="s">
        <v>20</v>
      </c>
      <c r="C14" s="9" t="s">
        <v>59</v>
      </c>
      <c r="D14" s="9" t="s">
        <v>60</v>
      </c>
      <c r="E14" s="9" t="s">
        <v>61</v>
      </c>
      <c r="F14" s="10" t="n">
        <v>46113</v>
      </c>
      <c r="G14" s="11" t="n">
        <f aca="false">EDATE(F14,-3)</f>
        <v>46023</v>
      </c>
      <c r="H14" s="8" t="s">
        <v>25</v>
      </c>
      <c r="I14" s="8" t="s">
        <v>25</v>
      </c>
      <c r="J14" s="12" t="s">
        <v>46</v>
      </c>
    </row>
    <row r="15" customFormat="false" ht="18" hidden="false" customHeight="true" outlineLevel="0" collapsed="false">
      <c r="A15" s="7" t="s">
        <v>62</v>
      </c>
      <c r="B15" s="13" t="s">
        <v>27</v>
      </c>
      <c r="C15" s="14" t="s">
        <v>63</v>
      </c>
      <c r="D15" s="14" t="s">
        <v>64</v>
      </c>
      <c r="E15" s="14" t="s">
        <v>65</v>
      </c>
      <c r="F15" s="10" t="n">
        <v>46174</v>
      </c>
      <c r="G15" s="15" t="n">
        <f aca="false">EDATE(F15,-3)</f>
        <v>46082</v>
      </c>
      <c r="H15" s="13" t="s">
        <v>24</v>
      </c>
      <c r="I15" s="13" t="s">
        <v>25</v>
      </c>
      <c r="J15" s="16"/>
    </row>
    <row r="16" customFormat="false" ht="18" hidden="false" customHeight="true" outlineLevel="0" collapsed="false">
      <c r="A16" s="7" t="s">
        <v>66</v>
      </c>
      <c r="B16" s="8" t="s">
        <v>32</v>
      </c>
      <c r="C16" s="9" t="s">
        <v>67</v>
      </c>
      <c r="D16" s="9" t="s">
        <v>68</v>
      </c>
      <c r="E16" s="9" t="s">
        <v>69</v>
      </c>
      <c r="F16" s="10" t="n">
        <v>46082</v>
      </c>
      <c r="G16" s="11" t="n">
        <f aca="false">EDATE(F16,-3)</f>
        <v>45992</v>
      </c>
      <c r="H16" s="8" t="s">
        <v>18</v>
      </c>
      <c r="I16" s="8" t="s">
        <v>25</v>
      </c>
      <c r="J16" s="12" t="s">
        <v>70</v>
      </c>
    </row>
    <row r="17" customFormat="false" ht="18" hidden="false" customHeight="true" outlineLevel="0" collapsed="false">
      <c r="A17" s="7" t="s">
        <v>71</v>
      </c>
      <c r="B17" s="13" t="s">
        <v>37</v>
      </c>
      <c r="C17" s="14" t="s">
        <v>72</v>
      </c>
      <c r="D17" s="14" t="s">
        <v>73</v>
      </c>
      <c r="E17" s="14" t="s">
        <v>74</v>
      </c>
      <c r="F17" s="10" t="n">
        <v>46357</v>
      </c>
      <c r="G17" s="15" t="n">
        <f aca="false">EDATE(F17,-3)</f>
        <v>46266</v>
      </c>
      <c r="H17" s="13" t="s">
        <v>24</v>
      </c>
      <c r="I17" s="13" t="s">
        <v>25</v>
      </c>
      <c r="J17" s="16" t="s">
        <v>52</v>
      </c>
    </row>
    <row r="18" customFormat="false" ht="18" hidden="false" customHeight="true" outlineLevel="0" collapsed="false">
      <c r="A18" s="7" t="s">
        <v>75</v>
      </c>
      <c r="B18" s="8" t="s">
        <v>42</v>
      </c>
      <c r="C18" s="9" t="s">
        <v>76</v>
      </c>
      <c r="D18" s="9" t="s">
        <v>77</v>
      </c>
      <c r="E18" s="9" t="s">
        <v>78</v>
      </c>
      <c r="F18" s="10" t="n">
        <v>46388</v>
      </c>
      <c r="G18" s="11" t="n">
        <f aca="false">EDATE(F18,-3)</f>
        <v>46296</v>
      </c>
      <c r="H18" s="8" t="s">
        <v>25</v>
      </c>
      <c r="I18" s="8" t="s">
        <v>25</v>
      </c>
      <c r="J18" s="12"/>
    </row>
    <row r="19" customFormat="false" ht="18" hidden="false" customHeight="true" outlineLevel="0" collapsed="false">
      <c r="A19" s="7" t="s">
        <v>79</v>
      </c>
      <c r="B19" s="13" t="s">
        <v>48</v>
      </c>
      <c r="C19" s="14" t="s">
        <v>80</v>
      </c>
      <c r="D19" s="14" t="s">
        <v>81</v>
      </c>
      <c r="E19" s="14" t="s">
        <v>82</v>
      </c>
      <c r="F19" s="10" t="n">
        <v>46722</v>
      </c>
      <c r="G19" s="15" t="n">
        <f aca="false">EDATE(F19,-3)</f>
        <v>46631</v>
      </c>
      <c r="H19" s="13" t="s">
        <v>18</v>
      </c>
      <c r="I19" s="13" t="s">
        <v>24</v>
      </c>
      <c r="J19" s="16" t="s">
        <v>46</v>
      </c>
    </row>
    <row r="20" customFormat="false" ht="18" hidden="false" customHeight="true" outlineLevel="0" collapsed="false">
      <c r="A20" s="7" t="s">
        <v>83</v>
      </c>
      <c r="B20" s="8" t="s">
        <v>14</v>
      </c>
      <c r="C20" s="9" t="s">
        <v>84</v>
      </c>
      <c r="D20" s="9" t="s">
        <v>16</v>
      </c>
      <c r="E20" s="9" t="s">
        <v>17</v>
      </c>
      <c r="F20" s="10" t="n">
        <v>46692</v>
      </c>
      <c r="G20" s="11" t="n">
        <f aca="false">EDATE(F20,-3)</f>
        <v>46600</v>
      </c>
      <c r="H20" s="8" t="s">
        <v>18</v>
      </c>
      <c r="I20" s="8" t="s">
        <v>25</v>
      </c>
      <c r="J20" s="12"/>
    </row>
    <row r="21" customFormat="false" ht="18" hidden="false" customHeight="true" outlineLevel="0" collapsed="false">
      <c r="A21" s="7" t="s">
        <v>85</v>
      </c>
      <c r="B21" s="13" t="s">
        <v>20</v>
      </c>
      <c r="C21" s="14" t="s">
        <v>86</v>
      </c>
      <c r="D21" s="14" t="s">
        <v>22</v>
      </c>
      <c r="E21" s="14" t="s">
        <v>23</v>
      </c>
      <c r="F21" s="10" t="n">
        <v>46631</v>
      </c>
      <c r="G21" s="15" t="n">
        <f aca="false">EDATE(F21,-3)</f>
        <v>46539</v>
      </c>
      <c r="H21" s="13" t="s">
        <v>24</v>
      </c>
      <c r="I21" s="13" t="s">
        <v>24</v>
      </c>
      <c r="J21" s="16" t="s">
        <v>70</v>
      </c>
    </row>
    <row r="22" customFormat="false" ht="18" hidden="false" customHeight="true" outlineLevel="0" collapsed="false">
      <c r="A22" s="7" t="s">
        <v>87</v>
      </c>
      <c r="B22" s="8" t="s">
        <v>27</v>
      </c>
      <c r="C22" s="9" t="s">
        <v>88</v>
      </c>
      <c r="D22" s="9" t="s">
        <v>29</v>
      </c>
      <c r="E22" s="9" t="s">
        <v>30</v>
      </c>
      <c r="F22" s="10" t="n">
        <v>46447</v>
      </c>
      <c r="G22" s="11" t="n">
        <f aca="false">EDATE(F22,-3)</f>
        <v>46357</v>
      </c>
      <c r="H22" s="8" t="s">
        <v>18</v>
      </c>
      <c r="I22" s="8" t="s">
        <v>18</v>
      </c>
      <c r="J22" s="12" t="s">
        <v>52</v>
      </c>
    </row>
    <row r="23" customFormat="false" ht="18" hidden="false" customHeight="true" outlineLevel="0" collapsed="false">
      <c r="A23" s="7" t="s">
        <v>89</v>
      </c>
      <c r="B23" s="13" t="s">
        <v>32</v>
      </c>
      <c r="C23" s="14" t="s">
        <v>90</v>
      </c>
      <c r="D23" s="14" t="s">
        <v>34</v>
      </c>
      <c r="E23" s="14" t="s">
        <v>35</v>
      </c>
      <c r="F23" s="10" t="n">
        <v>46447</v>
      </c>
      <c r="G23" s="15" t="n">
        <f aca="false">EDATE(F23,-3)</f>
        <v>46357</v>
      </c>
      <c r="H23" s="13" t="s">
        <v>24</v>
      </c>
      <c r="I23" s="13" t="s">
        <v>18</v>
      </c>
      <c r="J23" s="16" t="s">
        <v>70</v>
      </c>
    </row>
    <row r="24" customFormat="false" ht="18" hidden="false" customHeight="true" outlineLevel="0" collapsed="false">
      <c r="A24" s="7" t="s">
        <v>91</v>
      </c>
      <c r="B24" s="8" t="s">
        <v>37</v>
      </c>
      <c r="C24" s="9" t="s">
        <v>92</v>
      </c>
      <c r="D24" s="9" t="s">
        <v>39</v>
      </c>
      <c r="E24" s="9" t="s">
        <v>40</v>
      </c>
      <c r="F24" s="10" t="n">
        <v>46631</v>
      </c>
      <c r="G24" s="11" t="n">
        <f aca="false">EDATE(F24,-3)</f>
        <v>46539</v>
      </c>
      <c r="H24" s="8" t="s">
        <v>24</v>
      </c>
      <c r="I24" s="8" t="s">
        <v>18</v>
      </c>
      <c r="J24" s="12" t="s">
        <v>93</v>
      </c>
    </row>
    <row r="25" customFormat="false" ht="18" hidden="false" customHeight="true" outlineLevel="0" collapsed="false">
      <c r="A25" s="7" t="s">
        <v>94</v>
      </c>
      <c r="B25" s="13" t="s">
        <v>42</v>
      </c>
      <c r="C25" s="14" t="s">
        <v>95</v>
      </c>
      <c r="D25" s="14" t="s">
        <v>44</v>
      </c>
      <c r="E25" s="14" t="s">
        <v>45</v>
      </c>
      <c r="F25" s="10" t="n">
        <v>46631</v>
      </c>
      <c r="G25" s="15" t="n">
        <f aca="false">EDATE(F25,-3)</f>
        <v>46539</v>
      </c>
      <c r="H25" s="13" t="s">
        <v>24</v>
      </c>
      <c r="I25" s="13" t="s">
        <v>25</v>
      </c>
      <c r="J25" s="16"/>
    </row>
    <row r="26" customFormat="false" ht="18" hidden="false" customHeight="true" outlineLevel="0" collapsed="false">
      <c r="A26" s="7" t="s">
        <v>96</v>
      </c>
      <c r="B26" s="8" t="s">
        <v>48</v>
      </c>
      <c r="C26" s="9" t="s">
        <v>97</v>
      </c>
      <c r="D26" s="9" t="s">
        <v>50</v>
      </c>
      <c r="E26" s="9" t="s">
        <v>51</v>
      </c>
      <c r="F26" s="10" t="n">
        <v>46235</v>
      </c>
      <c r="G26" s="11" t="n">
        <f aca="false">EDATE(F26,-3)</f>
        <v>46143</v>
      </c>
      <c r="H26" s="8" t="s">
        <v>24</v>
      </c>
      <c r="I26" s="8" t="s">
        <v>24</v>
      </c>
      <c r="J26" s="12" t="s">
        <v>98</v>
      </c>
    </row>
    <row r="27" customFormat="false" ht="18" hidden="false" customHeight="true" outlineLevel="0" collapsed="false">
      <c r="A27" s="7" t="s">
        <v>99</v>
      </c>
      <c r="B27" s="13" t="s">
        <v>14</v>
      </c>
      <c r="C27" s="14" t="s">
        <v>100</v>
      </c>
      <c r="D27" s="14" t="s">
        <v>55</v>
      </c>
      <c r="E27" s="14" t="s">
        <v>56</v>
      </c>
      <c r="F27" s="10" t="n">
        <v>46266</v>
      </c>
      <c r="G27" s="15" t="n">
        <f aca="false">EDATE(F27,-3)</f>
        <v>46174</v>
      </c>
      <c r="H27" s="13" t="s">
        <v>24</v>
      </c>
      <c r="I27" s="13" t="s">
        <v>25</v>
      </c>
      <c r="J27" s="16" t="s">
        <v>52</v>
      </c>
    </row>
    <row r="28" customFormat="false" ht="18" hidden="false" customHeight="true" outlineLevel="0" collapsed="false">
      <c r="A28" s="7" t="s">
        <v>101</v>
      </c>
      <c r="B28" s="8" t="s">
        <v>20</v>
      </c>
      <c r="C28" s="9" t="s">
        <v>102</v>
      </c>
      <c r="D28" s="9" t="s">
        <v>60</v>
      </c>
      <c r="E28" s="9" t="s">
        <v>61</v>
      </c>
      <c r="F28" s="10" t="n">
        <v>46447</v>
      </c>
      <c r="G28" s="11" t="n">
        <f aca="false">EDATE(F28,-3)</f>
        <v>46357</v>
      </c>
      <c r="H28" s="8" t="s">
        <v>18</v>
      </c>
      <c r="I28" s="8" t="s">
        <v>24</v>
      </c>
      <c r="J28" s="12"/>
    </row>
    <row r="29" customFormat="false" ht="18" hidden="false" customHeight="true" outlineLevel="0" collapsed="false">
      <c r="A29" s="7" t="s">
        <v>103</v>
      </c>
      <c r="B29" s="13" t="s">
        <v>27</v>
      </c>
      <c r="C29" s="14" t="s">
        <v>104</v>
      </c>
      <c r="D29" s="14" t="s">
        <v>64</v>
      </c>
      <c r="E29" s="14" t="s">
        <v>65</v>
      </c>
      <c r="F29" s="10" t="n">
        <v>46661</v>
      </c>
      <c r="G29" s="15" t="n">
        <f aca="false">EDATE(F29,-3)</f>
        <v>46569</v>
      </c>
      <c r="H29" s="13" t="s">
        <v>25</v>
      </c>
      <c r="I29" s="13" t="s">
        <v>18</v>
      </c>
      <c r="J29" s="16"/>
    </row>
    <row r="30" customFormat="false" ht="18" hidden="false" customHeight="true" outlineLevel="0" collapsed="false">
      <c r="A30" s="7" t="s">
        <v>105</v>
      </c>
      <c r="B30" s="8" t="s">
        <v>32</v>
      </c>
      <c r="C30" s="9" t="s">
        <v>106</v>
      </c>
      <c r="D30" s="9" t="s">
        <v>68</v>
      </c>
      <c r="E30" s="9" t="s">
        <v>69</v>
      </c>
      <c r="F30" s="10" t="n">
        <v>46143</v>
      </c>
      <c r="G30" s="11" t="n">
        <f aca="false">EDATE(F30,-3)</f>
        <v>46054</v>
      </c>
      <c r="H30" s="8" t="s">
        <v>18</v>
      </c>
      <c r="I30" s="8" t="s">
        <v>18</v>
      </c>
      <c r="J30" s="12" t="s">
        <v>107</v>
      </c>
    </row>
    <row r="31" customFormat="false" ht="18" hidden="false" customHeight="true" outlineLevel="0" collapsed="false">
      <c r="A31" s="7" t="s">
        <v>108</v>
      </c>
      <c r="B31" s="13" t="s">
        <v>37</v>
      </c>
      <c r="C31" s="14" t="s">
        <v>109</v>
      </c>
      <c r="D31" s="14" t="s">
        <v>73</v>
      </c>
      <c r="E31" s="14" t="s">
        <v>74</v>
      </c>
      <c r="F31" s="10" t="n">
        <v>46235</v>
      </c>
      <c r="G31" s="15" t="n">
        <f aca="false">EDATE(F31,-3)</f>
        <v>46143</v>
      </c>
      <c r="H31" s="13" t="s">
        <v>24</v>
      </c>
      <c r="I31" s="13" t="s">
        <v>18</v>
      </c>
      <c r="J31" s="16"/>
    </row>
    <row r="32" customFormat="false" ht="18" hidden="false" customHeight="true" outlineLevel="0" collapsed="false">
      <c r="A32" s="7" t="s">
        <v>110</v>
      </c>
      <c r="B32" s="8" t="s">
        <v>42</v>
      </c>
      <c r="C32" s="9" t="s">
        <v>111</v>
      </c>
      <c r="D32" s="9" t="s">
        <v>77</v>
      </c>
      <c r="E32" s="9" t="s">
        <v>78</v>
      </c>
      <c r="F32" s="10" t="n">
        <v>46508</v>
      </c>
      <c r="G32" s="11" t="n">
        <f aca="false">EDATE(F32,-3)</f>
        <v>46419</v>
      </c>
      <c r="H32" s="8" t="s">
        <v>18</v>
      </c>
      <c r="I32" s="8" t="s">
        <v>24</v>
      </c>
      <c r="J32" s="12"/>
    </row>
    <row r="33" customFormat="false" ht="18" hidden="false" customHeight="true" outlineLevel="0" collapsed="false">
      <c r="A33" s="7" t="s">
        <v>112</v>
      </c>
      <c r="B33" s="13" t="s">
        <v>48</v>
      </c>
      <c r="C33" s="14" t="s">
        <v>113</v>
      </c>
      <c r="D33" s="14" t="s">
        <v>81</v>
      </c>
      <c r="E33" s="14" t="s">
        <v>82</v>
      </c>
      <c r="F33" s="10" t="n">
        <v>46569</v>
      </c>
      <c r="G33" s="15" t="n">
        <f aca="false">EDATE(F33,-3)</f>
        <v>46478</v>
      </c>
      <c r="H33" s="13" t="s">
        <v>25</v>
      </c>
      <c r="I33" s="13" t="s">
        <v>24</v>
      </c>
      <c r="J33" s="16" t="s">
        <v>46</v>
      </c>
    </row>
    <row r="34" customFormat="false" ht="18" hidden="false" customHeight="true" outlineLevel="0" collapsed="false">
      <c r="A34" s="7" t="s">
        <v>114</v>
      </c>
      <c r="B34" s="8" t="s">
        <v>14</v>
      </c>
      <c r="C34" s="9" t="s">
        <v>115</v>
      </c>
      <c r="D34" s="9" t="s">
        <v>16</v>
      </c>
      <c r="E34" s="9" t="s">
        <v>17</v>
      </c>
      <c r="F34" s="10" t="n">
        <v>46419</v>
      </c>
      <c r="G34" s="11" t="n">
        <f aca="false">EDATE(F34,-3)</f>
        <v>46327</v>
      </c>
      <c r="H34" s="8" t="s">
        <v>18</v>
      </c>
      <c r="I34" s="8" t="s">
        <v>24</v>
      </c>
      <c r="J34" s="12" t="s">
        <v>116</v>
      </c>
    </row>
    <row r="35" customFormat="false" ht="18" hidden="false" customHeight="true" outlineLevel="0" collapsed="false">
      <c r="A35" s="7" t="s">
        <v>117</v>
      </c>
      <c r="B35" s="13" t="s">
        <v>20</v>
      </c>
      <c r="C35" s="14" t="s">
        <v>118</v>
      </c>
      <c r="D35" s="14" t="s">
        <v>22</v>
      </c>
      <c r="E35" s="14" t="s">
        <v>23</v>
      </c>
      <c r="F35" s="10" t="n">
        <v>46023</v>
      </c>
      <c r="G35" s="15" t="n">
        <f aca="false">EDATE(F35,-3)</f>
        <v>45931</v>
      </c>
      <c r="H35" s="13" t="s">
        <v>24</v>
      </c>
      <c r="I35" s="13" t="s">
        <v>24</v>
      </c>
      <c r="J35" s="16"/>
    </row>
    <row r="36" customFormat="false" ht="18" hidden="false" customHeight="true" outlineLevel="0" collapsed="false">
      <c r="A36" s="7" t="s">
        <v>119</v>
      </c>
      <c r="B36" s="8" t="s">
        <v>27</v>
      </c>
      <c r="C36" s="9" t="s">
        <v>120</v>
      </c>
      <c r="D36" s="9" t="s">
        <v>29</v>
      </c>
      <c r="E36" s="9" t="s">
        <v>30</v>
      </c>
      <c r="F36" s="10" t="n">
        <v>46388</v>
      </c>
      <c r="G36" s="11" t="n">
        <f aca="false">EDATE(F36,-3)</f>
        <v>46296</v>
      </c>
      <c r="H36" s="8" t="s">
        <v>18</v>
      </c>
      <c r="I36" s="8" t="s">
        <v>24</v>
      </c>
      <c r="J36" s="12" t="s">
        <v>57</v>
      </c>
    </row>
    <row r="37" customFormat="false" ht="18" hidden="false" customHeight="true" outlineLevel="0" collapsed="false">
      <c r="A37" s="7" t="s">
        <v>121</v>
      </c>
      <c r="B37" s="13" t="s">
        <v>32</v>
      </c>
      <c r="C37" s="14" t="s">
        <v>122</v>
      </c>
      <c r="D37" s="14" t="s">
        <v>34</v>
      </c>
      <c r="E37" s="14" t="s">
        <v>35</v>
      </c>
      <c r="F37" s="10" t="n">
        <v>46113</v>
      </c>
      <c r="G37" s="15" t="n">
        <f aca="false">EDATE(F37,-3)</f>
        <v>46023</v>
      </c>
      <c r="H37" s="13" t="s">
        <v>24</v>
      </c>
      <c r="I37" s="13" t="s">
        <v>24</v>
      </c>
      <c r="J37" s="16" t="s">
        <v>107</v>
      </c>
    </row>
    <row r="38" customFormat="false" ht="18" hidden="false" customHeight="true" outlineLevel="0" collapsed="false">
      <c r="A38" s="7" t="s">
        <v>123</v>
      </c>
      <c r="B38" s="8" t="s">
        <v>37</v>
      </c>
      <c r="C38" s="9" t="s">
        <v>124</v>
      </c>
      <c r="D38" s="9" t="s">
        <v>39</v>
      </c>
      <c r="E38" s="9" t="s">
        <v>40</v>
      </c>
      <c r="F38" s="10" t="n">
        <v>46600</v>
      </c>
      <c r="G38" s="11" t="n">
        <f aca="false">EDATE(F38,-3)</f>
        <v>46508</v>
      </c>
      <c r="H38" s="8" t="s">
        <v>18</v>
      </c>
      <c r="I38" s="8" t="s">
        <v>18</v>
      </c>
      <c r="J38" s="12"/>
    </row>
    <row r="39" customFormat="false" ht="18" hidden="false" customHeight="true" outlineLevel="0" collapsed="false">
      <c r="A39" s="7" t="s">
        <v>125</v>
      </c>
      <c r="B39" s="13" t="s">
        <v>42</v>
      </c>
      <c r="C39" s="14" t="s">
        <v>126</v>
      </c>
      <c r="D39" s="14" t="s">
        <v>44</v>
      </c>
      <c r="E39" s="14" t="s">
        <v>45</v>
      </c>
      <c r="F39" s="10" t="n">
        <v>46569</v>
      </c>
      <c r="G39" s="15" t="n">
        <f aca="false">EDATE(F39,-3)</f>
        <v>46478</v>
      </c>
      <c r="H39" s="13" t="s">
        <v>24</v>
      </c>
      <c r="I39" s="13" t="s">
        <v>18</v>
      </c>
      <c r="J39" s="16" t="s">
        <v>93</v>
      </c>
    </row>
    <row r="40" customFormat="false" ht="18" hidden="false" customHeight="true" outlineLevel="0" collapsed="false">
      <c r="A40" s="7" t="s">
        <v>127</v>
      </c>
      <c r="B40" s="8" t="s">
        <v>48</v>
      </c>
      <c r="C40" s="9" t="s">
        <v>128</v>
      </c>
      <c r="D40" s="9" t="s">
        <v>50</v>
      </c>
      <c r="E40" s="9" t="s">
        <v>51</v>
      </c>
      <c r="F40" s="10" t="n">
        <v>46722</v>
      </c>
      <c r="G40" s="11" t="n">
        <f aca="false">EDATE(F40,-3)</f>
        <v>46631</v>
      </c>
      <c r="H40" s="8" t="s">
        <v>18</v>
      </c>
      <c r="I40" s="8" t="s">
        <v>18</v>
      </c>
      <c r="J40" s="12" t="s">
        <v>57</v>
      </c>
    </row>
    <row r="41" customFormat="false" ht="18" hidden="false" customHeight="true" outlineLevel="0" collapsed="false">
      <c r="A41" s="7" t="s">
        <v>129</v>
      </c>
      <c r="B41" s="13" t="s">
        <v>14</v>
      </c>
      <c r="C41" s="14" t="s">
        <v>130</v>
      </c>
      <c r="D41" s="14" t="s">
        <v>55</v>
      </c>
      <c r="E41" s="14" t="s">
        <v>56</v>
      </c>
      <c r="F41" s="10" t="n">
        <v>46447</v>
      </c>
      <c r="G41" s="15" t="n">
        <f aca="false">EDATE(F41,-3)</f>
        <v>46357</v>
      </c>
      <c r="H41" s="13" t="s">
        <v>18</v>
      </c>
      <c r="I41" s="13" t="s">
        <v>25</v>
      </c>
      <c r="J41" s="16" t="s">
        <v>46</v>
      </c>
    </row>
    <row r="42" customFormat="false" ht="18" hidden="false" customHeight="true" outlineLevel="0" collapsed="false">
      <c r="A42" s="7" t="s">
        <v>131</v>
      </c>
      <c r="B42" s="8" t="s">
        <v>20</v>
      </c>
      <c r="C42" s="9" t="s">
        <v>132</v>
      </c>
      <c r="D42" s="9" t="s">
        <v>60</v>
      </c>
      <c r="E42" s="9" t="s">
        <v>61</v>
      </c>
      <c r="F42" s="10" t="n">
        <v>46419</v>
      </c>
      <c r="G42" s="11" t="n">
        <f aca="false">EDATE(F42,-3)</f>
        <v>46327</v>
      </c>
      <c r="H42" s="8" t="s">
        <v>24</v>
      </c>
      <c r="I42" s="8" t="s">
        <v>18</v>
      </c>
      <c r="J42" s="12"/>
    </row>
    <row r="43" customFormat="false" ht="18" hidden="false" customHeight="true" outlineLevel="0" collapsed="false">
      <c r="A43" s="7" t="s">
        <v>133</v>
      </c>
      <c r="B43" s="13" t="s">
        <v>27</v>
      </c>
      <c r="C43" s="14" t="s">
        <v>134</v>
      </c>
      <c r="D43" s="14" t="s">
        <v>64</v>
      </c>
      <c r="E43" s="14" t="s">
        <v>65</v>
      </c>
      <c r="F43" s="10" t="n">
        <v>46054</v>
      </c>
      <c r="G43" s="15" t="n">
        <f aca="false">EDATE(F43,-3)</f>
        <v>45962</v>
      </c>
      <c r="H43" s="13" t="s">
        <v>18</v>
      </c>
      <c r="I43" s="13" t="s">
        <v>25</v>
      </c>
      <c r="J43" s="16" t="s">
        <v>46</v>
      </c>
    </row>
    <row r="44" customFormat="false" ht="18" hidden="false" customHeight="true" outlineLevel="0" collapsed="false">
      <c r="A44" s="7" t="s">
        <v>135</v>
      </c>
      <c r="B44" s="8" t="s">
        <v>32</v>
      </c>
      <c r="C44" s="9" t="s">
        <v>136</v>
      </c>
      <c r="D44" s="9" t="s">
        <v>68</v>
      </c>
      <c r="E44" s="9" t="s">
        <v>69</v>
      </c>
      <c r="F44" s="10" t="n">
        <v>46204</v>
      </c>
      <c r="G44" s="11" t="n">
        <f aca="false">EDATE(F44,-3)</f>
        <v>46113</v>
      </c>
      <c r="H44" s="8" t="s">
        <v>18</v>
      </c>
      <c r="I44" s="8" t="s">
        <v>25</v>
      </c>
      <c r="J44" s="12"/>
    </row>
    <row r="45" customFormat="false" ht="18" hidden="false" customHeight="true" outlineLevel="0" collapsed="false">
      <c r="A45" s="7" t="s">
        <v>137</v>
      </c>
      <c r="B45" s="13" t="s">
        <v>37</v>
      </c>
      <c r="C45" s="14" t="s">
        <v>138</v>
      </c>
      <c r="D45" s="14" t="s">
        <v>73</v>
      </c>
      <c r="E45" s="14" t="s">
        <v>74</v>
      </c>
      <c r="F45" s="10" t="n">
        <v>46600</v>
      </c>
      <c r="G45" s="15" t="n">
        <f aca="false">EDATE(F45,-3)</f>
        <v>46508</v>
      </c>
      <c r="H45" s="13" t="s">
        <v>25</v>
      </c>
      <c r="I45" s="13" t="s">
        <v>24</v>
      </c>
      <c r="J45" s="16"/>
    </row>
    <row r="46" customFormat="false" ht="18" hidden="false" customHeight="true" outlineLevel="0" collapsed="false">
      <c r="A46" s="7" t="s">
        <v>139</v>
      </c>
      <c r="B46" s="8" t="s">
        <v>42</v>
      </c>
      <c r="C46" s="9" t="s">
        <v>140</v>
      </c>
      <c r="D46" s="9" t="s">
        <v>77</v>
      </c>
      <c r="E46" s="9" t="s">
        <v>78</v>
      </c>
      <c r="F46" s="10" t="n">
        <v>46143</v>
      </c>
      <c r="G46" s="11" t="n">
        <f aca="false">EDATE(F46,-3)</f>
        <v>46054</v>
      </c>
      <c r="H46" s="8" t="s">
        <v>18</v>
      </c>
      <c r="I46" s="8" t="s">
        <v>24</v>
      </c>
      <c r="J46" s="12"/>
    </row>
    <row r="47" customFormat="false" ht="18" hidden="false" customHeight="true" outlineLevel="0" collapsed="false">
      <c r="A47" s="7" t="s">
        <v>141</v>
      </c>
      <c r="B47" s="13" t="s">
        <v>48</v>
      </c>
      <c r="C47" s="14" t="s">
        <v>142</v>
      </c>
      <c r="D47" s="14" t="s">
        <v>81</v>
      </c>
      <c r="E47" s="14" t="s">
        <v>82</v>
      </c>
      <c r="F47" s="10" t="n">
        <v>46174</v>
      </c>
      <c r="G47" s="15" t="n">
        <f aca="false">EDATE(F47,-3)</f>
        <v>46082</v>
      </c>
      <c r="H47" s="13" t="s">
        <v>18</v>
      </c>
      <c r="I47" s="13" t="s">
        <v>24</v>
      </c>
      <c r="J47" s="16" t="s">
        <v>46</v>
      </c>
    </row>
    <row r="48" customFormat="false" ht="18" hidden="false" customHeight="true" outlineLevel="0" collapsed="false">
      <c r="A48" s="7" t="s">
        <v>143</v>
      </c>
      <c r="B48" s="8" t="s">
        <v>14</v>
      </c>
      <c r="C48" s="9" t="s">
        <v>144</v>
      </c>
      <c r="D48" s="9" t="s">
        <v>16</v>
      </c>
      <c r="E48" s="9" t="s">
        <v>17</v>
      </c>
      <c r="F48" s="10" t="n">
        <v>46266</v>
      </c>
      <c r="G48" s="11" t="n">
        <f aca="false">EDATE(F48,-3)</f>
        <v>46174</v>
      </c>
      <c r="H48" s="8" t="s">
        <v>18</v>
      </c>
      <c r="I48" s="8" t="s">
        <v>24</v>
      </c>
      <c r="J48" s="12"/>
    </row>
    <row r="49" customFormat="false" ht="18" hidden="false" customHeight="true" outlineLevel="0" collapsed="false">
      <c r="A49" s="7" t="s">
        <v>145</v>
      </c>
      <c r="B49" s="13" t="s">
        <v>20</v>
      </c>
      <c r="C49" s="14" t="s">
        <v>146</v>
      </c>
      <c r="D49" s="14" t="s">
        <v>22</v>
      </c>
      <c r="E49" s="14" t="s">
        <v>23</v>
      </c>
      <c r="F49" s="10" t="n">
        <v>46054</v>
      </c>
      <c r="G49" s="15" t="n">
        <f aca="false">EDATE(F49,-3)</f>
        <v>45962</v>
      </c>
      <c r="H49" s="13" t="s">
        <v>25</v>
      </c>
      <c r="I49" s="13" t="s">
        <v>18</v>
      </c>
      <c r="J49" s="16" t="s">
        <v>107</v>
      </c>
    </row>
    <row r="50" customFormat="false" ht="18" hidden="false" customHeight="true" outlineLevel="0" collapsed="false">
      <c r="A50" s="7" t="s">
        <v>147</v>
      </c>
      <c r="B50" s="8" t="s">
        <v>27</v>
      </c>
      <c r="C50" s="9" t="s">
        <v>148</v>
      </c>
      <c r="D50" s="9" t="s">
        <v>29</v>
      </c>
      <c r="E50" s="9" t="s">
        <v>30</v>
      </c>
      <c r="F50" s="10" t="n">
        <v>46023</v>
      </c>
      <c r="G50" s="11" t="n">
        <f aca="false">EDATE(F50,-3)</f>
        <v>45931</v>
      </c>
      <c r="H50" s="8" t="s">
        <v>25</v>
      </c>
      <c r="I50" s="8" t="s">
        <v>24</v>
      </c>
      <c r="J50" s="12" t="s">
        <v>107</v>
      </c>
    </row>
    <row r="51" customFormat="false" ht="18" hidden="false" customHeight="true" outlineLevel="0" collapsed="false">
      <c r="A51" s="7" t="s">
        <v>149</v>
      </c>
      <c r="B51" s="13" t="s">
        <v>32</v>
      </c>
      <c r="C51" s="14" t="s">
        <v>150</v>
      </c>
      <c r="D51" s="14" t="s">
        <v>34</v>
      </c>
      <c r="E51" s="14" t="s">
        <v>35</v>
      </c>
      <c r="F51" s="10" t="n">
        <v>46143</v>
      </c>
      <c r="G51" s="15" t="n">
        <f aca="false">EDATE(F51,-3)</f>
        <v>46054</v>
      </c>
      <c r="H51" s="13" t="s">
        <v>24</v>
      </c>
      <c r="I51" s="13" t="s">
        <v>24</v>
      </c>
      <c r="J51" s="16" t="s">
        <v>151</v>
      </c>
    </row>
    <row r="52" customFormat="false" ht="18" hidden="false" customHeight="true" outlineLevel="0" collapsed="false">
      <c r="A52" s="7" t="s">
        <v>152</v>
      </c>
      <c r="B52" s="8" t="s">
        <v>37</v>
      </c>
      <c r="C52" s="9" t="s">
        <v>153</v>
      </c>
      <c r="D52" s="9" t="s">
        <v>39</v>
      </c>
      <c r="E52" s="9" t="s">
        <v>40</v>
      </c>
      <c r="F52" s="10" t="n">
        <v>46447</v>
      </c>
      <c r="G52" s="11" t="n">
        <f aca="false">EDATE(F52,-3)</f>
        <v>46357</v>
      </c>
      <c r="H52" s="8" t="s">
        <v>25</v>
      </c>
      <c r="I52" s="8" t="s">
        <v>25</v>
      </c>
      <c r="J52" s="12"/>
    </row>
    <row r="53" customFormat="false" ht="18" hidden="false" customHeight="true" outlineLevel="0" collapsed="false">
      <c r="A53" s="7" t="s">
        <v>154</v>
      </c>
      <c r="B53" s="13" t="s">
        <v>42</v>
      </c>
      <c r="C53" s="14" t="s">
        <v>155</v>
      </c>
      <c r="D53" s="14" t="s">
        <v>44</v>
      </c>
      <c r="E53" s="14" t="s">
        <v>45</v>
      </c>
      <c r="F53" s="10" t="n">
        <v>46296</v>
      </c>
      <c r="G53" s="15" t="n">
        <f aca="false">EDATE(F53,-3)</f>
        <v>46204</v>
      </c>
      <c r="H53" s="13" t="s">
        <v>18</v>
      </c>
      <c r="I53" s="13" t="s">
        <v>24</v>
      </c>
      <c r="J53" s="16" t="s">
        <v>57</v>
      </c>
    </row>
    <row r="54" customFormat="false" ht="18" hidden="false" customHeight="true" outlineLevel="0" collapsed="false">
      <c r="A54" s="7" t="s">
        <v>156</v>
      </c>
      <c r="B54" s="8" t="s">
        <v>48</v>
      </c>
      <c r="C54" s="9" t="s">
        <v>157</v>
      </c>
      <c r="D54" s="9" t="s">
        <v>50</v>
      </c>
      <c r="E54" s="9" t="s">
        <v>51</v>
      </c>
      <c r="F54" s="10" t="n">
        <v>46174</v>
      </c>
      <c r="G54" s="11" t="n">
        <f aca="false">EDATE(F54,-3)</f>
        <v>46082</v>
      </c>
      <c r="H54" s="8" t="s">
        <v>18</v>
      </c>
      <c r="I54" s="8" t="s">
        <v>25</v>
      </c>
      <c r="J54" s="12" t="s">
        <v>98</v>
      </c>
    </row>
    <row r="55" customFormat="false" ht="18" hidden="false" customHeight="true" outlineLevel="0" collapsed="false">
      <c r="A55" s="7" t="s">
        <v>158</v>
      </c>
      <c r="B55" s="13" t="s">
        <v>14</v>
      </c>
      <c r="C55" s="14" t="s">
        <v>159</v>
      </c>
      <c r="D55" s="14" t="s">
        <v>55</v>
      </c>
      <c r="E55" s="14" t="s">
        <v>56</v>
      </c>
      <c r="F55" s="10" t="n">
        <v>46631</v>
      </c>
      <c r="G55" s="15" t="n">
        <f aca="false">EDATE(F55,-3)</f>
        <v>46539</v>
      </c>
      <c r="H55" s="13" t="s">
        <v>24</v>
      </c>
      <c r="I55" s="13" t="s">
        <v>24</v>
      </c>
      <c r="J55" s="16" t="s">
        <v>116</v>
      </c>
    </row>
    <row r="56" customFormat="false" ht="18" hidden="false" customHeight="true" outlineLevel="0" collapsed="false">
      <c r="A56" s="7" t="s">
        <v>160</v>
      </c>
      <c r="B56" s="8" t="s">
        <v>20</v>
      </c>
      <c r="C56" s="9" t="s">
        <v>161</v>
      </c>
      <c r="D56" s="9" t="s">
        <v>60</v>
      </c>
      <c r="E56" s="9" t="s">
        <v>61</v>
      </c>
      <c r="F56" s="10" t="n">
        <v>46631</v>
      </c>
      <c r="G56" s="11" t="n">
        <f aca="false">EDATE(F56,-3)</f>
        <v>46539</v>
      </c>
      <c r="H56" s="8" t="s">
        <v>24</v>
      </c>
      <c r="I56" s="8" t="s">
        <v>18</v>
      </c>
      <c r="J56" s="12"/>
    </row>
    <row r="57" customFormat="false" ht="18" hidden="false" customHeight="true" outlineLevel="0" collapsed="false">
      <c r="A57" s="7" t="s">
        <v>162</v>
      </c>
      <c r="B57" s="13" t="s">
        <v>27</v>
      </c>
      <c r="C57" s="14" t="s">
        <v>163</v>
      </c>
      <c r="D57" s="14" t="s">
        <v>64</v>
      </c>
      <c r="E57" s="14" t="s">
        <v>65</v>
      </c>
      <c r="F57" s="10" t="n">
        <v>46054</v>
      </c>
      <c r="G57" s="15" t="n">
        <f aca="false">EDATE(F57,-3)</f>
        <v>45962</v>
      </c>
      <c r="H57" s="13" t="s">
        <v>25</v>
      </c>
      <c r="I57" s="13" t="s">
        <v>25</v>
      </c>
      <c r="J57" s="16" t="s">
        <v>107</v>
      </c>
    </row>
    <row r="58" customFormat="false" ht="18" hidden="false" customHeight="true" outlineLevel="0" collapsed="false">
      <c r="A58" s="7" t="s">
        <v>164</v>
      </c>
      <c r="B58" s="8" t="s">
        <v>32</v>
      </c>
      <c r="C58" s="9" t="s">
        <v>165</v>
      </c>
      <c r="D58" s="9" t="s">
        <v>68</v>
      </c>
      <c r="E58" s="9" t="s">
        <v>69</v>
      </c>
      <c r="F58" s="10" t="n">
        <v>46478</v>
      </c>
      <c r="G58" s="11" t="n">
        <f aca="false">EDATE(F58,-3)</f>
        <v>46388</v>
      </c>
      <c r="H58" s="8" t="s">
        <v>24</v>
      </c>
      <c r="I58" s="8" t="s">
        <v>25</v>
      </c>
      <c r="J58" s="12" t="s">
        <v>98</v>
      </c>
    </row>
    <row r="59" customFormat="false" ht="18" hidden="false" customHeight="true" outlineLevel="0" collapsed="false">
      <c r="A59" s="7" t="s">
        <v>166</v>
      </c>
      <c r="B59" s="13" t="s">
        <v>37</v>
      </c>
      <c r="C59" s="14" t="s">
        <v>167</v>
      </c>
      <c r="D59" s="14" t="s">
        <v>73</v>
      </c>
      <c r="E59" s="14" t="s">
        <v>74</v>
      </c>
      <c r="F59" s="10" t="n">
        <v>46569</v>
      </c>
      <c r="G59" s="15" t="n">
        <f aca="false">EDATE(F59,-3)</f>
        <v>46478</v>
      </c>
      <c r="H59" s="13" t="s">
        <v>18</v>
      </c>
      <c r="I59" s="13" t="s">
        <v>18</v>
      </c>
      <c r="J59" s="16" t="s">
        <v>151</v>
      </c>
    </row>
    <row r="60" customFormat="false" ht="18" hidden="false" customHeight="true" outlineLevel="0" collapsed="false">
      <c r="A60" s="7" t="s">
        <v>168</v>
      </c>
      <c r="B60" s="8" t="s">
        <v>42</v>
      </c>
      <c r="C60" s="9" t="s">
        <v>169</v>
      </c>
      <c r="D60" s="9" t="s">
        <v>77</v>
      </c>
      <c r="E60" s="9" t="s">
        <v>78</v>
      </c>
      <c r="F60" s="10" t="n">
        <v>46447</v>
      </c>
      <c r="G60" s="11" t="n">
        <f aca="false">EDATE(F60,-3)</f>
        <v>46357</v>
      </c>
      <c r="H60" s="8" t="s">
        <v>24</v>
      </c>
      <c r="I60" s="8" t="s">
        <v>24</v>
      </c>
      <c r="J60" s="12" t="s">
        <v>70</v>
      </c>
    </row>
    <row r="61" customFormat="false" ht="18" hidden="false" customHeight="true" outlineLevel="0" collapsed="false">
      <c r="A61" s="7" t="s">
        <v>170</v>
      </c>
      <c r="B61" s="13" t="s">
        <v>48</v>
      </c>
      <c r="C61" s="14" t="s">
        <v>171</v>
      </c>
      <c r="D61" s="14" t="s">
        <v>81</v>
      </c>
      <c r="E61" s="14" t="s">
        <v>82</v>
      </c>
      <c r="F61" s="10" t="n">
        <v>46357</v>
      </c>
      <c r="G61" s="15" t="n">
        <f aca="false">EDATE(F61,-3)</f>
        <v>46266</v>
      </c>
      <c r="H61" s="13" t="s">
        <v>24</v>
      </c>
      <c r="I61" s="13" t="s">
        <v>18</v>
      </c>
      <c r="J61" s="16" t="s">
        <v>52</v>
      </c>
    </row>
    <row r="62" customFormat="false" ht="18" hidden="false" customHeight="true" outlineLevel="0" collapsed="false">
      <c r="A62" s="7" t="s">
        <v>172</v>
      </c>
      <c r="B62" s="8" t="s">
        <v>14</v>
      </c>
      <c r="C62" s="9" t="s">
        <v>173</v>
      </c>
      <c r="D62" s="9" t="s">
        <v>16</v>
      </c>
      <c r="E62" s="9" t="s">
        <v>17</v>
      </c>
      <c r="F62" s="10" t="n">
        <v>46447</v>
      </c>
      <c r="G62" s="11" t="n">
        <f aca="false">EDATE(F62,-3)</f>
        <v>46357</v>
      </c>
      <c r="H62" s="8" t="s">
        <v>18</v>
      </c>
      <c r="I62" s="8" t="s">
        <v>18</v>
      </c>
      <c r="J62" s="12" t="s">
        <v>98</v>
      </c>
    </row>
    <row r="63" customFormat="false" ht="18" hidden="false" customHeight="true" outlineLevel="0" collapsed="false">
      <c r="A63" s="7" t="s">
        <v>174</v>
      </c>
      <c r="B63" s="13" t="s">
        <v>20</v>
      </c>
      <c r="C63" s="14" t="s">
        <v>175</v>
      </c>
      <c r="D63" s="14" t="s">
        <v>22</v>
      </c>
      <c r="E63" s="14" t="s">
        <v>23</v>
      </c>
      <c r="F63" s="10" t="n">
        <v>46388</v>
      </c>
      <c r="G63" s="15" t="n">
        <f aca="false">EDATE(F63,-3)</f>
        <v>46296</v>
      </c>
      <c r="H63" s="13" t="s">
        <v>18</v>
      </c>
      <c r="I63" s="13" t="s">
        <v>24</v>
      </c>
      <c r="J63" s="16" t="s">
        <v>57</v>
      </c>
    </row>
    <row r="64" customFormat="false" ht="18" hidden="false" customHeight="true" outlineLevel="0" collapsed="false">
      <c r="A64" s="7" t="s">
        <v>176</v>
      </c>
      <c r="B64" s="8" t="s">
        <v>27</v>
      </c>
      <c r="C64" s="9" t="s">
        <v>177</v>
      </c>
      <c r="D64" s="9" t="s">
        <v>29</v>
      </c>
      <c r="E64" s="9" t="s">
        <v>30</v>
      </c>
      <c r="F64" s="10" t="n">
        <v>46631</v>
      </c>
      <c r="G64" s="11" t="n">
        <f aca="false">EDATE(F64,-3)</f>
        <v>46539</v>
      </c>
      <c r="H64" s="8" t="s">
        <v>24</v>
      </c>
      <c r="I64" s="8" t="s">
        <v>24</v>
      </c>
      <c r="J64" s="12"/>
    </row>
    <row r="65" customFormat="false" ht="18" hidden="false" customHeight="true" outlineLevel="0" collapsed="false">
      <c r="A65" s="7" t="s">
        <v>178</v>
      </c>
      <c r="B65" s="13" t="s">
        <v>32</v>
      </c>
      <c r="C65" s="14" t="s">
        <v>179</v>
      </c>
      <c r="D65" s="14" t="s">
        <v>34</v>
      </c>
      <c r="E65" s="14" t="s">
        <v>35</v>
      </c>
      <c r="F65" s="10" t="n">
        <v>46447</v>
      </c>
      <c r="G65" s="15" t="n">
        <f aca="false">EDATE(F65,-3)</f>
        <v>46357</v>
      </c>
      <c r="H65" s="13" t="s">
        <v>18</v>
      </c>
      <c r="I65" s="13" t="s">
        <v>18</v>
      </c>
      <c r="J65" s="16"/>
    </row>
    <row r="66" customFormat="false" ht="18" hidden="false" customHeight="true" outlineLevel="0" collapsed="false">
      <c r="A66" s="7" t="s">
        <v>180</v>
      </c>
      <c r="B66" s="8" t="s">
        <v>37</v>
      </c>
      <c r="C66" s="9" t="s">
        <v>181</v>
      </c>
      <c r="D66" s="9" t="s">
        <v>39</v>
      </c>
      <c r="E66" s="9" t="s">
        <v>40</v>
      </c>
      <c r="F66" s="10" t="n">
        <v>46204</v>
      </c>
      <c r="G66" s="11" t="n">
        <f aca="false">EDATE(F66,-3)</f>
        <v>46113</v>
      </c>
      <c r="H66" s="8" t="s">
        <v>25</v>
      </c>
      <c r="I66" s="8" t="s">
        <v>18</v>
      </c>
      <c r="J66" s="12"/>
    </row>
    <row r="67" customFormat="false" ht="18" hidden="false" customHeight="true" outlineLevel="0" collapsed="false">
      <c r="A67" s="7" t="s">
        <v>182</v>
      </c>
      <c r="B67" s="13" t="s">
        <v>42</v>
      </c>
      <c r="C67" s="14" t="s">
        <v>183</v>
      </c>
      <c r="D67" s="14" t="s">
        <v>44</v>
      </c>
      <c r="E67" s="14" t="s">
        <v>45</v>
      </c>
      <c r="F67" s="10" t="n">
        <v>46388</v>
      </c>
      <c r="G67" s="15" t="n">
        <f aca="false">EDATE(F67,-3)</f>
        <v>46296</v>
      </c>
      <c r="H67" s="13" t="s">
        <v>18</v>
      </c>
      <c r="I67" s="13" t="s">
        <v>18</v>
      </c>
      <c r="J67" s="16" t="s">
        <v>52</v>
      </c>
    </row>
    <row r="68" customFormat="false" ht="18" hidden="false" customHeight="true" outlineLevel="0" collapsed="false">
      <c r="A68" s="7" t="s">
        <v>184</v>
      </c>
      <c r="B68" s="8" t="s">
        <v>48</v>
      </c>
      <c r="C68" s="9" t="s">
        <v>185</v>
      </c>
      <c r="D68" s="9" t="s">
        <v>50</v>
      </c>
      <c r="E68" s="9" t="s">
        <v>51</v>
      </c>
      <c r="F68" s="10" t="n">
        <v>46113</v>
      </c>
      <c r="G68" s="11" t="n">
        <f aca="false">EDATE(F68,-3)</f>
        <v>46023</v>
      </c>
      <c r="H68" s="8" t="s">
        <v>18</v>
      </c>
      <c r="I68" s="8" t="s">
        <v>24</v>
      </c>
      <c r="J68" s="12" t="s">
        <v>57</v>
      </c>
    </row>
    <row r="69" customFormat="false" ht="18" hidden="false" customHeight="true" outlineLevel="0" collapsed="false">
      <c r="A69" s="7" t="s">
        <v>186</v>
      </c>
      <c r="B69" s="13" t="s">
        <v>14</v>
      </c>
      <c r="C69" s="14" t="s">
        <v>187</v>
      </c>
      <c r="D69" s="14" t="s">
        <v>55</v>
      </c>
      <c r="E69" s="14" t="s">
        <v>56</v>
      </c>
      <c r="F69" s="10" t="n">
        <v>46508</v>
      </c>
      <c r="G69" s="15" t="n">
        <f aca="false">EDATE(F69,-3)</f>
        <v>46419</v>
      </c>
      <c r="H69" s="13" t="s">
        <v>24</v>
      </c>
      <c r="I69" s="13" t="s">
        <v>24</v>
      </c>
      <c r="J69" s="16" t="s">
        <v>70</v>
      </c>
    </row>
    <row r="70" customFormat="false" ht="18" hidden="false" customHeight="true" outlineLevel="0" collapsed="false">
      <c r="A70" s="7" t="s">
        <v>188</v>
      </c>
      <c r="B70" s="8" t="s">
        <v>20</v>
      </c>
      <c r="C70" s="9" t="s">
        <v>189</v>
      </c>
      <c r="D70" s="9" t="s">
        <v>60</v>
      </c>
      <c r="E70" s="9" t="s">
        <v>61</v>
      </c>
      <c r="F70" s="10" t="n">
        <v>46419</v>
      </c>
      <c r="G70" s="11" t="n">
        <f aca="false">EDATE(F70,-3)</f>
        <v>46327</v>
      </c>
      <c r="H70" s="8" t="s">
        <v>18</v>
      </c>
      <c r="I70" s="8" t="s">
        <v>24</v>
      </c>
      <c r="J70" s="12" t="s">
        <v>98</v>
      </c>
    </row>
    <row r="71" customFormat="false" ht="18" hidden="false" customHeight="true" outlineLevel="0" collapsed="false">
      <c r="A71" s="7" t="s">
        <v>190</v>
      </c>
      <c r="B71" s="13" t="s">
        <v>27</v>
      </c>
      <c r="C71" s="14" t="s">
        <v>191</v>
      </c>
      <c r="D71" s="14" t="s">
        <v>64</v>
      </c>
      <c r="E71" s="14" t="s">
        <v>65</v>
      </c>
      <c r="F71" s="10" t="n">
        <v>46569</v>
      </c>
      <c r="G71" s="15" t="n">
        <f aca="false">EDATE(F71,-3)</f>
        <v>46478</v>
      </c>
      <c r="H71" s="13" t="s">
        <v>24</v>
      </c>
      <c r="I71" s="13" t="s">
        <v>25</v>
      </c>
      <c r="J71" s="16" t="s">
        <v>70</v>
      </c>
    </row>
    <row r="72" customFormat="false" ht="18" hidden="false" customHeight="true" outlineLevel="0" collapsed="false">
      <c r="A72" s="7" t="s">
        <v>192</v>
      </c>
      <c r="B72" s="8" t="s">
        <v>32</v>
      </c>
      <c r="C72" s="9" t="s">
        <v>193</v>
      </c>
      <c r="D72" s="9" t="s">
        <v>68</v>
      </c>
      <c r="E72" s="9" t="s">
        <v>69</v>
      </c>
      <c r="F72" s="10" t="n">
        <v>46296</v>
      </c>
      <c r="G72" s="11" t="n">
        <f aca="false">EDATE(F72,-3)</f>
        <v>46204</v>
      </c>
      <c r="H72" s="8" t="s">
        <v>25</v>
      </c>
      <c r="I72" s="8" t="s">
        <v>18</v>
      </c>
      <c r="J72" s="12"/>
    </row>
    <row r="73" customFormat="false" ht="18" hidden="false" customHeight="true" outlineLevel="0" collapsed="false">
      <c r="A73" s="7" t="s">
        <v>194</v>
      </c>
      <c r="B73" s="13" t="s">
        <v>37</v>
      </c>
      <c r="C73" s="14" t="s">
        <v>195</v>
      </c>
      <c r="D73" s="14" t="s">
        <v>73</v>
      </c>
      <c r="E73" s="14" t="s">
        <v>74</v>
      </c>
      <c r="F73" s="10" t="n">
        <v>46266</v>
      </c>
      <c r="G73" s="15" t="n">
        <f aca="false">EDATE(F73,-3)</f>
        <v>46174</v>
      </c>
      <c r="H73" s="13" t="s">
        <v>25</v>
      </c>
      <c r="I73" s="13" t="s">
        <v>25</v>
      </c>
      <c r="J73" s="16"/>
    </row>
    <row r="74" customFormat="false" ht="18" hidden="false" customHeight="true" outlineLevel="0" collapsed="false">
      <c r="A74" s="7" t="s">
        <v>196</v>
      </c>
      <c r="B74" s="8" t="s">
        <v>42</v>
      </c>
      <c r="C74" s="9" t="s">
        <v>197</v>
      </c>
      <c r="D74" s="9" t="s">
        <v>77</v>
      </c>
      <c r="E74" s="9" t="s">
        <v>78</v>
      </c>
      <c r="F74" s="10" t="n">
        <v>46327</v>
      </c>
      <c r="G74" s="11" t="n">
        <f aca="false">EDATE(F74,-3)</f>
        <v>46235</v>
      </c>
      <c r="H74" s="8" t="s">
        <v>24</v>
      </c>
      <c r="I74" s="8" t="s">
        <v>25</v>
      </c>
      <c r="J74" s="12" t="s">
        <v>116</v>
      </c>
    </row>
    <row r="75" customFormat="false" ht="18" hidden="false" customHeight="true" outlineLevel="0" collapsed="false">
      <c r="A75" s="7" t="s">
        <v>198</v>
      </c>
      <c r="B75" s="13" t="s">
        <v>48</v>
      </c>
      <c r="C75" s="14" t="s">
        <v>199</v>
      </c>
      <c r="D75" s="14" t="s">
        <v>81</v>
      </c>
      <c r="E75" s="14" t="s">
        <v>82</v>
      </c>
      <c r="F75" s="10" t="n">
        <v>46539</v>
      </c>
      <c r="G75" s="15" t="n">
        <f aca="false">EDATE(F75,-3)</f>
        <v>46447</v>
      </c>
      <c r="H75" s="13" t="s">
        <v>24</v>
      </c>
      <c r="I75" s="13" t="s">
        <v>25</v>
      </c>
      <c r="J75" s="16" t="s">
        <v>116</v>
      </c>
    </row>
    <row r="76" customFormat="false" ht="18" hidden="false" customHeight="true" outlineLevel="0" collapsed="false">
      <c r="A76" s="7" t="s">
        <v>200</v>
      </c>
      <c r="B76" s="8" t="s">
        <v>14</v>
      </c>
      <c r="C76" s="9" t="s">
        <v>201</v>
      </c>
      <c r="D76" s="9" t="s">
        <v>16</v>
      </c>
      <c r="E76" s="9" t="s">
        <v>17</v>
      </c>
      <c r="F76" s="10" t="n">
        <v>46692</v>
      </c>
      <c r="G76" s="11" t="n">
        <f aca="false">EDATE(F76,-3)</f>
        <v>46600</v>
      </c>
      <c r="H76" s="8" t="s">
        <v>24</v>
      </c>
      <c r="I76" s="8" t="s">
        <v>24</v>
      </c>
      <c r="J76" s="12"/>
    </row>
    <row r="77" customFormat="false" ht="18" hidden="false" customHeight="true" outlineLevel="0" collapsed="false">
      <c r="A77" s="7" t="s">
        <v>202</v>
      </c>
      <c r="B77" s="13" t="s">
        <v>20</v>
      </c>
      <c r="C77" s="14" t="s">
        <v>203</v>
      </c>
      <c r="D77" s="14" t="s">
        <v>22</v>
      </c>
      <c r="E77" s="14" t="s">
        <v>23</v>
      </c>
      <c r="F77" s="10" t="n">
        <v>46388</v>
      </c>
      <c r="G77" s="15" t="n">
        <f aca="false">EDATE(F77,-3)</f>
        <v>46296</v>
      </c>
      <c r="H77" s="13" t="s">
        <v>25</v>
      </c>
      <c r="I77" s="13" t="s">
        <v>18</v>
      </c>
      <c r="J77" s="16" t="s">
        <v>70</v>
      </c>
    </row>
    <row r="78" customFormat="false" ht="18" hidden="false" customHeight="true" outlineLevel="0" collapsed="false">
      <c r="A78" s="7" t="s">
        <v>204</v>
      </c>
      <c r="B78" s="8" t="s">
        <v>27</v>
      </c>
      <c r="C78" s="9" t="s">
        <v>205</v>
      </c>
      <c r="D78" s="9" t="s">
        <v>29</v>
      </c>
      <c r="E78" s="9" t="s">
        <v>30</v>
      </c>
      <c r="F78" s="10" t="n">
        <v>46235</v>
      </c>
      <c r="G78" s="11" t="n">
        <f aca="false">EDATE(F78,-3)</f>
        <v>46143</v>
      </c>
      <c r="H78" s="8" t="s">
        <v>24</v>
      </c>
      <c r="I78" s="8" t="s">
        <v>25</v>
      </c>
      <c r="J78" s="12"/>
    </row>
    <row r="79" customFormat="false" ht="18" hidden="false" customHeight="true" outlineLevel="0" collapsed="false">
      <c r="A79" s="7" t="s">
        <v>206</v>
      </c>
      <c r="B79" s="13" t="s">
        <v>32</v>
      </c>
      <c r="C79" s="14" t="s">
        <v>207</v>
      </c>
      <c r="D79" s="14" t="s">
        <v>34</v>
      </c>
      <c r="E79" s="14" t="s">
        <v>35</v>
      </c>
      <c r="F79" s="10" t="n">
        <v>46508</v>
      </c>
      <c r="G79" s="15" t="n">
        <f aca="false">EDATE(F79,-3)</f>
        <v>46419</v>
      </c>
      <c r="H79" s="13" t="s">
        <v>18</v>
      </c>
      <c r="I79" s="13" t="s">
        <v>18</v>
      </c>
      <c r="J79" s="16" t="s">
        <v>93</v>
      </c>
    </row>
    <row r="80" customFormat="false" ht="18" hidden="false" customHeight="true" outlineLevel="0" collapsed="false">
      <c r="A80" s="7" t="s">
        <v>208</v>
      </c>
      <c r="B80" s="8" t="s">
        <v>37</v>
      </c>
      <c r="C80" s="9" t="s">
        <v>209</v>
      </c>
      <c r="D80" s="9" t="s">
        <v>39</v>
      </c>
      <c r="E80" s="9" t="s">
        <v>40</v>
      </c>
      <c r="F80" s="10" t="n">
        <v>46023</v>
      </c>
      <c r="G80" s="11" t="n">
        <f aca="false">EDATE(F80,-3)</f>
        <v>45931</v>
      </c>
      <c r="H80" s="8" t="s">
        <v>18</v>
      </c>
      <c r="I80" s="8" t="s">
        <v>25</v>
      </c>
      <c r="J80" s="12" t="s">
        <v>107</v>
      </c>
    </row>
    <row r="81" customFormat="false" ht="18" hidden="false" customHeight="true" outlineLevel="0" collapsed="false">
      <c r="A81" s="7" t="s">
        <v>210</v>
      </c>
      <c r="B81" s="13" t="s">
        <v>42</v>
      </c>
      <c r="C81" s="14" t="s">
        <v>211</v>
      </c>
      <c r="D81" s="14" t="s">
        <v>44</v>
      </c>
      <c r="E81" s="14" t="s">
        <v>45</v>
      </c>
      <c r="F81" s="10" t="n">
        <v>46327</v>
      </c>
      <c r="G81" s="15" t="n">
        <f aca="false">EDATE(F81,-3)</f>
        <v>46235</v>
      </c>
      <c r="H81" s="13" t="s">
        <v>24</v>
      </c>
      <c r="I81" s="13" t="s">
        <v>24</v>
      </c>
      <c r="J81" s="16" t="s">
        <v>70</v>
      </c>
    </row>
    <row r="82" customFormat="false" ht="18" hidden="false" customHeight="true" outlineLevel="0" collapsed="false">
      <c r="A82" s="7" t="s">
        <v>212</v>
      </c>
      <c r="B82" s="8" t="s">
        <v>48</v>
      </c>
      <c r="C82" s="9" t="s">
        <v>213</v>
      </c>
      <c r="D82" s="9" t="s">
        <v>50</v>
      </c>
      <c r="E82" s="9" t="s">
        <v>51</v>
      </c>
      <c r="F82" s="10" t="n">
        <v>46082</v>
      </c>
      <c r="G82" s="11" t="n">
        <f aca="false">EDATE(F82,-3)</f>
        <v>45992</v>
      </c>
      <c r="H82" s="8" t="s">
        <v>18</v>
      </c>
      <c r="I82" s="8" t="s">
        <v>25</v>
      </c>
      <c r="J82" s="12" t="s">
        <v>57</v>
      </c>
    </row>
    <row r="83" customFormat="false" ht="18" hidden="false" customHeight="true" outlineLevel="0" collapsed="false">
      <c r="A83" s="7" t="s">
        <v>214</v>
      </c>
      <c r="B83" s="13" t="s">
        <v>14</v>
      </c>
      <c r="C83" s="14" t="s">
        <v>215</v>
      </c>
      <c r="D83" s="14" t="s">
        <v>55</v>
      </c>
      <c r="E83" s="14" t="s">
        <v>56</v>
      </c>
      <c r="F83" s="10" t="n">
        <v>46631</v>
      </c>
      <c r="G83" s="15" t="n">
        <f aca="false">EDATE(F83,-3)</f>
        <v>46539</v>
      </c>
      <c r="H83" s="13" t="s">
        <v>18</v>
      </c>
      <c r="I83" s="13" t="s">
        <v>24</v>
      </c>
      <c r="J83" s="16" t="s">
        <v>57</v>
      </c>
    </row>
    <row r="84" customFormat="false" ht="18" hidden="false" customHeight="true" outlineLevel="0" collapsed="false">
      <c r="A84" s="7" t="s">
        <v>216</v>
      </c>
      <c r="B84" s="8" t="s">
        <v>20</v>
      </c>
      <c r="C84" s="9" t="s">
        <v>217</v>
      </c>
      <c r="D84" s="9" t="s">
        <v>60</v>
      </c>
      <c r="E84" s="9" t="s">
        <v>61</v>
      </c>
      <c r="F84" s="10" t="n">
        <v>46600</v>
      </c>
      <c r="G84" s="11" t="n">
        <f aca="false">EDATE(F84,-3)</f>
        <v>46508</v>
      </c>
      <c r="H84" s="8" t="s">
        <v>25</v>
      </c>
      <c r="I84" s="8" t="s">
        <v>24</v>
      </c>
      <c r="J84" s="12" t="s">
        <v>52</v>
      </c>
    </row>
    <row r="85" customFormat="false" ht="18" hidden="false" customHeight="true" outlineLevel="0" collapsed="false">
      <c r="A85" s="7" t="s">
        <v>218</v>
      </c>
      <c r="B85" s="13" t="s">
        <v>27</v>
      </c>
      <c r="C85" s="14" t="s">
        <v>219</v>
      </c>
      <c r="D85" s="14" t="s">
        <v>64</v>
      </c>
      <c r="E85" s="14" t="s">
        <v>65</v>
      </c>
      <c r="F85" s="10" t="n">
        <v>46631</v>
      </c>
      <c r="G85" s="15" t="n">
        <f aca="false">EDATE(F85,-3)</f>
        <v>46539</v>
      </c>
      <c r="H85" s="13" t="s">
        <v>18</v>
      </c>
      <c r="I85" s="13" t="s">
        <v>24</v>
      </c>
      <c r="J85" s="16" t="s">
        <v>52</v>
      </c>
    </row>
    <row r="86" customFormat="false" ht="18" hidden="false" customHeight="true" outlineLevel="0" collapsed="false">
      <c r="A86" s="7" t="s">
        <v>220</v>
      </c>
      <c r="B86" s="8" t="s">
        <v>32</v>
      </c>
      <c r="C86" s="9" t="s">
        <v>221</v>
      </c>
      <c r="D86" s="9" t="s">
        <v>68</v>
      </c>
      <c r="E86" s="9" t="s">
        <v>69</v>
      </c>
      <c r="F86" s="10" t="n">
        <v>46478</v>
      </c>
      <c r="G86" s="11" t="n">
        <f aca="false">EDATE(F86,-3)</f>
        <v>46388</v>
      </c>
      <c r="H86" s="8" t="s">
        <v>24</v>
      </c>
      <c r="I86" s="8" t="s">
        <v>25</v>
      </c>
      <c r="J86" s="12" t="s">
        <v>93</v>
      </c>
    </row>
    <row r="87" customFormat="false" ht="18" hidden="false" customHeight="true" outlineLevel="0" collapsed="false">
      <c r="A87" s="7" t="s">
        <v>222</v>
      </c>
      <c r="B87" s="13" t="s">
        <v>37</v>
      </c>
      <c r="C87" s="14" t="s">
        <v>223</v>
      </c>
      <c r="D87" s="14" t="s">
        <v>73</v>
      </c>
      <c r="E87" s="14" t="s">
        <v>74</v>
      </c>
      <c r="F87" s="10" t="n">
        <v>46419</v>
      </c>
      <c r="G87" s="15" t="n">
        <f aca="false">EDATE(F87,-3)</f>
        <v>46327</v>
      </c>
      <c r="H87" s="13" t="s">
        <v>18</v>
      </c>
      <c r="I87" s="13" t="s">
        <v>25</v>
      </c>
      <c r="J87" s="16" t="s">
        <v>151</v>
      </c>
    </row>
    <row r="88" customFormat="false" ht="18" hidden="false" customHeight="true" outlineLevel="0" collapsed="false">
      <c r="A88" s="7" t="s">
        <v>224</v>
      </c>
      <c r="B88" s="8" t="s">
        <v>42</v>
      </c>
      <c r="C88" s="9" t="s">
        <v>225</v>
      </c>
      <c r="D88" s="9" t="s">
        <v>77</v>
      </c>
      <c r="E88" s="9" t="s">
        <v>78</v>
      </c>
      <c r="F88" s="10" t="n">
        <v>46054</v>
      </c>
      <c r="G88" s="11" t="n">
        <f aca="false">EDATE(F88,-3)</f>
        <v>45962</v>
      </c>
      <c r="H88" s="8" t="s">
        <v>18</v>
      </c>
      <c r="I88" s="8" t="s">
        <v>18</v>
      </c>
      <c r="J88" s="12" t="s">
        <v>70</v>
      </c>
    </row>
    <row r="89" customFormat="false" ht="18" hidden="false" customHeight="true" outlineLevel="0" collapsed="false">
      <c r="A89" s="7" t="s">
        <v>226</v>
      </c>
      <c r="B89" s="13" t="s">
        <v>48</v>
      </c>
      <c r="C89" s="14" t="s">
        <v>227</v>
      </c>
      <c r="D89" s="14" t="s">
        <v>81</v>
      </c>
      <c r="E89" s="14" t="s">
        <v>82</v>
      </c>
      <c r="F89" s="10" t="n">
        <v>46419</v>
      </c>
      <c r="G89" s="15" t="n">
        <f aca="false">EDATE(F89,-3)</f>
        <v>46327</v>
      </c>
      <c r="H89" s="13" t="s">
        <v>25</v>
      </c>
      <c r="I89" s="13" t="s">
        <v>25</v>
      </c>
      <c r="J89" s="16" t="s">
        <v>116</v>
      </c>
    </row>
    <row r="90" customFormat="false" ht="18" hidden="false" customHeight="true" outlineLevel="0" collapsed="false">
      <c r="A90" s="7" t="s">
        <v>228</v>
      </c>
      <c r="B90" s="8" t="s">
        <v>14</v>
      </c>
      <c r="C90" s="9" t="s">
        <v>229</v>
      </c>
      <c r="D90" s="9" t="s">
        <v>16</v>
      </c>
      <c r="E90" s="9" t="s">
        <v>17</v>
      </c>
      <c r="F90" s="10" t="n">
        <v>46478</v>
      </c>
      <c r="G90" s="11" t="n">
        <f aca="false">EDATE(F90,-3)</f>
        <v>46388</v>
      </c>
      <c r="H90" s="8" t="s">
        <v>25</v>
      </c>
      <c r="I90" s="8" t="s">
        <v>24</v>
      </c>
      <c r="J90" s="12"/>
    </row>
    <row r="91" customFormat="false" ht="18" hidden="false" customHeight="true" outlineLevel="0" collapsed="false">
      <c r="A91" s="7" t="s">
        <v>230</v>
      </c>
      <c r="B91" s="13" t="s">
        <v>20</v>
      </c>
      <c r="C91" s="14" t="s">
        <v>231</v>
      </c>
      <c r="D91" s="14" t="s">
        <v>22</v>
      </c>
      <c r="E91" s="14" t="s">
        <v>23</v>
      </c>
      <c r="F91" s="10" t="n">
        <v>46661</v>
      </c>
      <c r="G91" s="15" t="n">
        <f aca="false">EDATE(F91,-3)</f>
        <v>46569</v>
      </c>
      <c r="H91" s="13" t="s">
        <v>25</v>
      </c>
      <c r="I91" s="13" t="s">
        <v>18</v>
      </c>
      <c r="J91" s="16" t="s">
        <v>151</v>
      </c>
    </row>
    <row r="92" customFormat="false" ht="18" hidden="false" customHeight="true" outlineLevel="0" collapsed="false">
      <c r="A92" s="7" t="s">
        <v>232</v>
      </c>
      <c r="B92" s="8" t="s">
        <v>27</v>
      </c>
      <c r="C92" s="9" t="s">
        <v>233</v>
      </c>
      <c r="D92" s="9" t="s">
        <v>29</v>
      </c>
      <c r="E92" s="9" t="s">
        <v>30</v>
      </c>
      <c r="F92" s="10" t="n">
        <v>46204</v>
      </c>
      <c r="G92" s="11" t="n">
        <f aca="false">EDATE(F92,-3)</f>
        <v>46113</v>
      </c>
      <c r="H92" s="8" t="s">
        <v>25</v>
      </c>
      <c r="I92" s="8" t="s">
        <v>18</v>
      </c>
      <c r="J92" s="12" t="s">
        <v>98</v>
      </c>
    </row>
    <row r="93" customFormat="false" ht="18" hidden="false" customHeight="true" outlineLevel="0" collapsed="false">
      <c r="A93" s="7" t="s">
        <v>234</v>
      </c>
      <c r="B93" s="13" t="s">
        <v>32</v>
      </c>
      <c r="C93" s="14" t="s">
        <v>235</v>
      </c>
      <c r="D93" s="14" t="s">
        <v>34</v>
      </c>
      <c r="E93" s="14" t="s">
        <v>35</v>
      </c>
      <c r="F93" s="10" t="n">
        <v>46569</v>
      </c>
      <c r="G93" s="15" t="n">
        <f aca="false">EDATE(F93,-3)</f>
        <v>46478</v>
      </c>
      <c r="H93" s="13" t="s">
        <v>24</v>
      </c>
      <c r="I93" s="13" t="s">
        <v>24</v>
      </c>
      <c r="J93" s="16"/>
    </row>
    <row r="94" customFormat="false" ht="18" hidden="false" customHeight="true" outlineLevel="0" collapsed="false">
      <c r="A94" s="7" t="s">
        <v>236</v>
      </c>
      <c r="B94" s="8" t="s">
        <v>37</v>
      </c>
      <c r="C94" s="9" t="s">
        <v>237</v>
      </c>
      <c r="D94" s="9" t="s">
        <v>39</v>
      </c>
      <c r="E94" s="9" t="s">
        <v>40</v>
      </c>
      <c r="F94" s="10" t="n">
        <v>46235</v>
      </c>
      <c r="G94" s="11" t="n">
        <f aca="false">EDATE(F94,-3)</f>
        <v>46143</v>
      </c>
      <c r="H94" s="8" t="s">
        <v>24</v>
      </c>
      <c r="I94" s="8" t="s">
        <v>24</v>
      </c>
      <c r="J94" s="12"/>
    </row>
    <row r="95" customFormat="false" ht="18" hidden="false" customHeight="true" outlineLevel="0" collapsed="false">
      <c r="A95" s="7" t="s">
        <v>238</v>
      </c>
      <c r="B95" s="13" t="s">
        <v>42</v>
      </c>
      <c r="C95" s="14" t="s">
        <v>239</v>
      </c>
      <c r="D95" s="14" t="s">
        <v>44</v>
      </c>
      <c r="E95" s="14" t="s">
        <v>45</v>
      </c>
      <c r="F95" s="10" t="n">
        <v>46327</v>
      </c>
      <c r="G95" s="15" t="n">
        <f aca="false">EDATE(F95,-3)</f>
        <v>46235</v>
      </c>
      <c r="H95" s="13" t="s">
        <v>18</v>
      </c>
      <c r="I95" s="13" t="s">
        <v>24</v>
      </c>
      <c r="J95" s="16" t="s">
        <v>70</v>
      </c>
    </row>
    <row r="96" customFormat="false" ht="18" hidden="false" customHeight="true" outlineLevel="0" collapsed="false">
      <c r="A96" s="7" t="s">
        <v>240</v>
      </c>
      <c r="B96" s="8" t="s">
        <v>48</v>
      </c>
      <c r="C96" s="9" t="s">
        <v>241</v>
      </c>
      <c r="D96" s="9" t="s">
        <v>50</v>
      </c>
      <c r="E96" s="9" t="s">
        <v>51</v>
      </c>
      <c r="F96" s="10" t="n">
        <v>46082</v>
      </c>
      <c r="G96" s="11" t="n">
        <f aca="false">EDATE(F96,-3)</f>
        <v>45992</v>
      </c>
      <c r="H96" s="8" t="s">
        <v>25</v>
      </c>
      <c r="I96" s="8" t="s">
        <v>25</v>
      </c>
      <c r="J96" s="12" t="s">
        <v>151</v>
      </c>
    </row>
    <row r="97" customFormat="false" ht="18" hidden="false" customHeight="true" outlineLevel="0" collapsed="false">
      <c r="A97" s="7" t="s">
        <v>242</v>
      </c>
      <c r="B97" s="13" t="s">
        <v>14</v>
      </c>
      <c r="C97" s="14" t="s">
        <v>243</v>
      </c>
      <c r="D97" s="14" t="s">
        <v>55</v>
      </c>
      <c r="E97" s="14" t="s">
        <v>56</v>
      </c>
      <c r="F97" s="10" t="n">
        <v>46539</v>
      </c>
      <c r="G97" s="15" t="n">
        <f aca="false">EDATE(F97,-3)</f>
        <v>46447</v>
      </c>
      <c r="H97" s="13" t="s">
        <v>25</v>
      </c>
      <c r="I97" s="13" t="s">
        <v>25</v>
      </c>
      <c r="J97" s="16" t="s">
        <v>98</v>
      </c>
    </row>
    <row r="98" customFormat="false" ht="18" hidden="false" customHeight="true" outlineLevel="0" collapsed="false">
      <c r="A98" s="7" t="s">
        <v>244</v>
      </c>
      <c r="B98" s="8" t="s">
        <v>20</v>
      </c>
      <c r="C98" s="9" t="s">
        <v>245</v>
      </c>
      <c r="D98" s="9" t="s">
        <v>60</v>
      </c>
      <c r="E98" s="9" t="s">
        <v>61</v>
      </c>
      <c r="F98" s="10" t="n">
        <v>46113</v>
      </c>
      <c r="G98" s="11" t="n">
        <f aca="false">EDATE(F98,-3)</f>
        <v>46023</v>
      </c>
      <c r="H98" s="8" t="s">
        <v>24</v>
      </c>
      <c r="I98" s="8" t="s">
        <v>18</v>
      </c>
      <c r="J98" s="12"/>
    </row>
    <row r="99" customFormat="false" ht="18" hidden="false" customHeight="true" outlineLevel="0" collapsed="false">
      <c r="A99" s="7" t="s">
        <v>246</v>
      </c>
      <c r="B99" s="13" t="s">
        <v>27</v>
      </c>
      <c r="C99" s="14" t="s">
        <v>247</v>
      </c>
      <c r="D99" s="14" t="s">
        <v>64</v>
      </c>
      <c r="E99" s="14" t="s">
        <v>65</v>
      </c>
      <c r="F99" s="10" t="n">
        <v>46023</v>
      </c>
      <c r="G99" s="15" t="n">
        <f aca="false">EDATE(F99,-3)</f>
        <v>45931</v>
      </c>
      <c r="H99" s="13" t="s">
        <v>18</v>
      </c>
      <c r="I99" s="13" t="s">
        <v>18</v>
      </c>
      <c r="J99" s="16" t="s">
        <v>46</v>
      </c>
    </row>
    <row r="100" customFormat="false" ht="18" hidden="false" customHeight="true" outlineLevel="0" collapsed="false">
      <c r="A100" s="7" t="s">
        <v>248</v>
      </c>
      <c r="B100" s="8" t="s">
        <v>32</v>
      </c>
      <c r="C100" s="9" t="s">
        <v>249</v>
      </c>
      <c r="D100" s="9" t="s">
        <v>68</v>
      </c>
      <c r="E100" s="9" t="s">
        <v>69</v>
      </c>
      <c r="F100" s="10" t="n">
        <v>46508</v>
      </c>
      <c r="G100" s="11" t="n">
        <f aca="false">EDATE(F100,-3)</f>
        <v>46419</v>
      </c>
      <c r="H100" s="8" t="s">
        <v>18</v>
      </c>
      <c r="I100" s="8" t="s">
        <v>24</v>
      </c>
      <c r="J100" s="12" t="s">
        <v>107</v>
      </c>
    </row>
    <row r="101" customFormat="false" ht="18" hidden="false" customHeight="true" outlineLevel="0" collapsed="false">
      <c r="A101" s="7" t="s">
        <v>250</v>
      </c>
      <c r="B101" s="13" t="s">
        <v>37</v>
      </c>
      <c r="C101" s="14" t="s">
        <v>251</v>
      </c>
      <c r="D101" s="14" t="s">
        <v>73</v>
      </c>
      <c r="E101" s="14" t="s">
        <v>74</v>
      </c>
      <c r="F101" s="10" t="n">
        <v>46447</v>
      </c>
      <c r="G101" s="15" t="n">
        <f aca="false">EDATE(F101,-3)</f>
        <v>46357</v>
      </c>
      <c r="H101" s="13" t="s">
        <v>18</v>
      </c>
      <c r="I101" s="13" t="s">
        <v>24</v>
      </c>
      <c r="J101" s="16"/>
    </row>
    <row r="102" customFormat="false" ht="18" hidden="false" customHeight="true" outlineLevel="0" collapsed="false">
      <c r="A102" s="7" t="s">
        <v>252</v>
      </c>
      <c r="B102" s="8" t="s">
        <v>42</v>
      </c>
      <c r="C102" s="9" t="s">
        <v>253</v>
      </c>
      <c r="D102" s="9" t="s">
        <v>77</v>
      </c>
      <c r="E102" s="9" t="s">
        <v>78</v>
      </c>
      <c r="F102" s="10" t="n">
        <v>46569</v>
      </c>
      <c r="G102" s="11" t="n">
        <f aca="false">EDATE(F102,-3)</f>
        <v>46478</v>
      </c>
      <c r="H102" s="8" t="s">
        <v>24</v>
      </c>
      <c r="I102" s="8" t="s">
        <v>18</v>
      </c>
      <c r="J102" s="12"/>
    </row>
    <row r="103" customFormat="false" ht="18" hidden="false" customHeight="true" outlineLevel="0" collapsed="false">
      <c r="A103" s="7" t="s">
        <v>254</v>
      </c>
      <c r="B103" s="13" t="s">
        <v>48</v>
      </c>
      <c r="C103" s="14" t="s">
        <v>255</v>
      </c>
      <c r="D103" s="14" t="s">
        <v>81</v>
      </c>
      <c r="E103" s="14" t="s">
        <v>82</v>
      </c>
      <c r="F103" s="10" t="n">
        <v>46143</v>
      </c>
      <c r="G103" s="15" t="n">
        <f aca="false">EDATE(F103,-3)</f>
        <v>46054</v>
      </c>
      <c r="H103" s="13" t="s">
        <v>24</v>
      </c>
      <c r="I103" s="13" t="s">
        <v>18</v>
      </c>
      <c r="J103" s="16" t="s">
        <v>151</v>
      </c>
    </row>
    <row r="104" customFormat="false" ht="18" hidden="false" customHeight="true" outlineLevel="0" collapsed="false">
      <c r="A104" s="7" t="s">
        <v>256</v>
      </c>
      <c r="B104" s="8" t="s">
        <v>14</v>
      </c>
      <c r="C104" s="9" t="s">
        <v>257</v>
      </c>
      <c r="D104" s="9" t="s">
        <v>16</v>
      </c>
      <c r="E104" s="9" t="s">
        <v>17</v>
      </c>
      <c r="F104" s="10" t="n">
        <v>46174</v>
      </c>
      <c r="G104" s="11" t="n">
        <f aca="false">EDATE(F104,-3)</f>
        <v>46082</v>
      </c>
      <c r="H104" s="8" t="s">
        <v>24</v>
      </c>
      <c r="I104" s="8" t="s">
        <v>24</v>
      </c>
      <c r="J104" s="12" t="s">
        <v>151</v>
      </c>
    </row>
    <row r="105" customFormat="false" ht="18" hidden="false" customHeight="true" outlineLevel="0" collapsed="false">
      <c r="A105" s="17" t="s">
        <v>258</v>
      </c>
      <c r="B105" s="18" t="s">
        <v>20</v>
      </c>
      <c r="C105" s="19" t="s">
        <v>259</v>
      </c>
      <c r="D105" s="19" t="s">
        <v>22</v>
      </c>
      <c r="E105" s="19" t="s">
        <v>23</v>
      </c>
      <c r="F105" s="20" t="n">
        <v>46235</v>
      </c>
      <c r="G105" s="21" t="n">
        <f aca="false">EDATE(F105,-3)</f>
        <v>46143</v>
      </c>
      <c r="H105" s="18" t="s">
        <v>25</v>
      </c>
      <c r="I105" s="18" t="s">
        <v>25</v>
      </c>
      <c r="J105" s="22" t="s">
        <v>93</v>
      </c>
    </row>
  </sheetData>
  <autoFilter ref="A5:J105"/>
  <mergeCells count="3">
    <mergeCell ref="A1:J1"/>
    <mergeCell ref="A2:J2"/>
    <mergeCell ref="A3:J4"/>
  </mergeCells>
  <conditionalFormatting sqref="H6:H105">
    <cfRule type="cellIs" priority="2" operator="equal" aboveAverage="0" equalAverage="0" bottom="0" percent="0" rank="0" text="" dxfId="11">
      <formula>"Yes"</formula>
    </cfRule>
    <cfRule type="cellIs" priority="3" operator="equal" aboveAverage="0" equalAverage="0" bottom="0" percent="0" rank="0" text="" dxfId="12">
      <formula>"No"</formula>
    </cfRule>
    <cfRule type="cellIs" priority="4" operator="equal" aboveAverage="0" equalAverage="0" bottom="0" percent="0" rank="0" text="" dxfId="13">
      <formula>"Pending"</formula>
    </cfRule>
  </conditionalFormatting>
  <conditionalFormatting sqref="I6:I105">
    <cfRule type="cellIs" priority="5" operator="equal" aboveAverage="0" equalAverage="0" bottom="0" percent="0" rank="0" text="" dxfId="11">
      <formula>"Yes"</formula>
    </cfRule>
    <cfRule type="cellIs" priority="6" operator="equal" aboveAverage="0" equalAverage="0" bottom="0" percent="0" rank="0" text="" dxfId="12">
      <formula>"No"</formula>
    </cfRule>
    <cfRule type="cellIs" priority="7" operator="equal" aboveAverage="0" equalAverage="0" bottom="0" percent="0" rank="0" text="" dxfId="13">
      <formula>"Pending"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2026-08-02T17:48:10Z</dcterms:created>
  <dc:creator>openpyxl</dc:creator>
  <dc:description/>
  <dc:language>en-US</dc:language>
  <cp:lastModifiedBy/>
  <dcterms:modified xsi:type="dcterms:W3CDTF">2026-08-02T17:48:10Z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